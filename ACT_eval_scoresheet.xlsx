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Fixed" sheetId="2" r:id="rId5"/>
    <sheet state="visible" name="Random" sheetId="3" r:id="rId6"/>
  </sheets>
  <definedNames/>
  <calcPr/>
  <extLst>
    <ext uri="GoogleSheetsCustomDataVersion2">
      <go:sheetsCustomData xmlns:go="http://customooxmlschemas.google.com/" r:id="rId7" roundtripDataChecksum="DWAfvcMw6S0jIF/oIroNlVHlqPqUyRErjNMIAvyHJRw="/>
    </ext>
  </extLst>
</workbook>
</file>

<file path=xl/sharedStrings.xml><?xml version="1.0" encoding="utf-8"?>
<sst xmlns="http://schemas.openxmlformats.org/spreadsheetml/2006/main" count="264" uniqueCount="100">
  <si>
    <t>ACT Pick-and-Place — 50-Episode Evaluation Score Sheet</t>
  </si>
  <si>
    <t>Fill only the YELLOW cells. Success rate, grasp rate, mean placement error, and the failure breakdown compute automatically.</t>
  </si>
  <si>
    <t>BEFORE you start — preconditions (all must be true or the numbers are meaningless):</t>
  </si>
  <si>
    <t>1. Task spec is LOCKED and written down: object, workspace zone, and what counts as a success. Do not change it after this.</t>
  </si>
  <si>
    <t>2. Use ONE trained checkpoint for BOTH the Fixed and Random tabs (same model, same weights).</t>
  </si>
  <si>
    <t>3. No manual assist. If you touch or hand the cube to the arm, that trial is a FAIL.</t>
  </si>
  <si>
    <t>4. While running trials, only judge from the camera feed rule you used in recording; run the policy fully autonomously start to finish.</t>
  </si>
  <si>
    <t>SUCCESS is defined as:  the arm autonomously GRASPS the cube AND RELEASES it inside the target (bowl), with no human help.</t>
  </si>
  <si>
    <t>The two tabs answer two different questions:</t>
  </si>
  <si>
    <t>FIXED tab  — cube at the SAME reference position every trial (use the position most represented in your 50 training demos).</t>
  </si>
  <si>
    <t xml:space="preserve">   Question: did the model learn the pick-and-place motion at all?  Low success here means a TRAINING problem (normalization / checkpoint / chunk size), not generalization.</t>
  </si>
  <si>
    <t>RANDOM tab — cube at 50 pre-set random positions inside the locked zone (already filled in column B, seed-fixed).</t>
  </si>
  <si>
    <t xml:space="preserve">   Question: does it generalize?  This is the REAL success rate that goes into the ACT-vs-VLA comparison and the course.</t>
  </si>
  <si>
    <t xml:space="preserve">   IMPORTANT: keep these same 50 positions. When you later test SmolVLA, use the exact same 50 positions so the comparison is fair.</t>
  </si>
  <si>
    <t>How to read the result:</t>
  </si>
  <si>
    <t xml:space="preserve">   High Fixed + Low Random  -&gt; data-coverage / generalization problem  -&gt; re-record demos with dense, randomized cube positions across the locked zone.</t>
  </si>
  <si>
    <t xml:space="preserve">   Low Fixed + Low Random   -&gt; training problem (the 'pecking' family)  -&gt; checkpoint selection, action normalization, chunk size / KL weight.</t>
  </si>
  <si>
    <t xml:space="preserve">   High Fixed + High Random -&gt; ACT baseline holds. Freeze it and move to VLA.</t>
  </si>
  <si>
    <t>Per-trial columns:</t>
  </si>
  <si>
    <t xml:space="preserve">   Grasped? — did the arm close on and lift the cube? Y/N.</t>
  </si>
  <si>
    <t xml:space="preserve">   Placed in target? — did it release the cube inside the bowl? Y/N. (Success = Grasped Y AND Placed Y.)</t>
  </si>
  <si>
    <t xml:space="preserve">   Placement error (cm) — for placed trials, distance from cube's final resting point to the target center. Leave blank if not placed.</t>
  </si>
  <si>
    <t xml:space="preserve">   Failure mode — pick ONE: no-grasp / grasped-dropped / wrong-placement / other. Leave blank on success.</t>
  </si>
  <si>
    <t>Positions are (x, y) offsets in cm from the workspace center, within a ~10 cm zone (-5 to +5 on each axis). Adjust the zone label if yours differs.</t>
  </si>
  <si>
    <t>ACT Evaluation — Fixed Position</t>
  </si>
  <si>
    <t>SUMMARY (auto-computed)</t>
  </si>
  <si>
    <t>Total trials</t>
  </si>
  <si>
    <t>There might be a margin of error of +/- 0.1 cm in cube position in the x and y coordinates</t>
  </si>
  <si>
    <t>Successes (grasp Y AND target Y)</t>
  </si>
  <si>
    <t>Success rate</t>
  </si>
  <si>
    <t>Grasp rate (grasped Y / total)</t>
  </si>
  <si>
    <t>Mean placement error (cm, successes only)</t>
  </si>
  <si>
    <t>Placement MSE (cm^2, optional)</t>
  </si>
  <si>
    <t>Fail: no-grasp</t>
  </si>
  <si>
    <t>Fail: grasped-dropped</t>
  </si>
  <si>
    <t>Fail: wrong-placement</t>
  </si>
  <si>
    <t>Trial</t>
  </si>
  <si>
    <t>Cube pos</t>
  </si>
  <si>
    <t>Grasped? (Y/N)</t>
  </si>
  <si>
    <t>Placed? (Y/N)</t>
  </si>
  <si>
    <t>Failure mode</t>
  </si>
  <si>
    <t>Placement err (cm)</t>
  </si>
  <si>
    <t>(0,0)</t>
  </si>
  <si>
    <t>Y</t>
  </si>
  <si>
    <t>ref</t>
  </si>
  <si>
    <t>N</t>
  </si>
  <si>
    <t>no-grasp</t>
  </si>
  <si>
    <t>ACT Evaluation — Random Position</t>
  </si>
  <si>
    <t>Cube pos (x,y cm)</t>
  </si>
  <si>
    <t xml:space="preserve">Gripper Pos (cm) </t>
  </si>
  <si>
    <t>(1.4, -4.7)</t>
  </si>
  <si>
    <t>(-2.2, -2.8)</t>
  </si>
  <si>
    <t>(2.4, 1.8)</t>
  </si>
  <si>
    <t>(3.9, -4.1)</t>
  </si>
  <si>
    <t>(-0.8, -4.7)</t>
  </si>
  <si>
    <t>(-2.8, 0.1)</t>
  </si>
  <si>
    <t>(-4.7, -3.0)</t>
  </si>
  <si>
    <t>(1.5, 0.4)</t>
  </si>
  <si>
    <t>(-2.8, 0.9)</t>
  </si>
  <si>
    <t>(3.1, -4.9)</t>
  </si>
  <si>
    <t>(3.1, 2.0)</t>
  </si>
  <si>
    <t>(-1.6, -3.4)</t>
  </si>
  <si>
    <t>(4.6, -1.6)</t>
  </si>
  <si>
    <t>(-4.1, -4.0)</t>
  </si>
  <si>
    <t>(3.5, 1.0)</t>
  </si>
  <si>
    <t>(3.1, 2.3)</t>
  </si>
  <si>
    <t>(0.4, 4.7)</t>
  </si>
  <si>
    <t>(-1.2, 0.5)</t>
  </si>
  <si>
    <t>(3.3, 1.2)</t>
  </si>
  <si>
    <t>(3.6, 0.8)</t>
  </si>
  <si>
    <t>(2.0, -4.5)</t>
  </si>
  <si>
    <t>(-2.7, -2.1)</t>
  </si>
  <si>
    <t>(-4.2, -2.7)</t>
  </si>
  <si>
    <t>(-4.0, -2.2)</t>
  </si>
  <si>
    <t>(1.4, -1.4)</t>
  </si>
  <si>
    <t>(-1.3, -2.9)</t>
  </si>
  <si>
    <t>(-2.3, 4.4)</t>
  </si>
  <si>
    <t>(1.5, 1.1)</t>
  </si>
  <si>
    <t>(-3.3, 2.3)</t>
  </si>
  <si>
    <t>(-3.4, -1.2)</t>
  </si>
  <si>
    <t>(4.9, 1.4)</t>
  </si>
  <si>
    <t>(0.6, 1.8)</t>
  </si>
  <si>
    <t>(3.4, 2.8)</t>
  </si>
  <si>
    <t>(-2.7, -4.7)</t>
  </si>
  <si>
    <t>(-1.8, -2.3)</t>
  </si>
  <si>
    <t>(-2.9, 4.4)</t>
  </si>
  <si>
    <t>(3.8, -1.9)</t>
  </si>
  <si>
    <t>(1.6, -1.0)</t>
  </si>
  <si>
    <t>(4.1, -0.4)</t>
  </si>
  <si>
    <t>(-2.4, -2.5)</t>
  </si>
  <si>
    <t>(0.6, -2.4)</t>
  </si>
  <si>
    <t>(0.8, 4.0)</t>
  </si>
  <si>
    <t>(-1.0, -2.8)</t>
  </si>
  <si>
    <t>(5.0, 0.1)</t>
  </si>
  <si>
    <t>(-4.1, -4.5)</t>
  </si>
  <si>
    <t>(-3.9, 1.3)</t>
  </si>
  <si>
    <t>(2.9, -0.8)</t>
  </si>
  <si>
    <t>(-4.4, -1.2)</t>
  </si>
  <si>
    <t>(5.0, 0.3)</t>
  </si>
  <si>
    <t>(4.7, 3.6)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</si>
</sst>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1.0"/>
      <color theme="1"/>
      <name val="Calibri"/>
      <scheme val="minor"/>
    </font>
    <font>
      <b/>
      <sz val="14.0"/>
      <color rgb="FF2F5496"/>
      <name val="Arial"/>
    </font>
    <font>
      <sz val="10.0"/>
      <color theme="1"/>
      <name val="Arial"/>
    </font>
    <font>
      <b/>
      <sz val="11.0"/>
      <color theme="1"/>
      <name val="Arial"/>
    </font>
    <font>
      <b/>
      <sz val="11.0"/>
      <color rgb="FF2F5496"/>
      <name val="Arial"/>
    </font>
    <font>
      <i/>
      <sz val="9.0"/>
      <color rgb="FF7F7F7F"/>
      <name val="Arial"/>
    </font>
    <font>
      <b/>
      <sz val="13.0"/>
      <color rgb="FF2F5496"/>
      <name val="Arial"/>
    </font>
    <font>
      <color theme="1"/>
      <name val="Calibri"/>
      <scheme val="minor"/>
    </font>
    <font>
      <b/>
      <sz val="11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readingOrder="0"/>
    </xf>
    <xf borderId="1" fillId="2" fontId="3" numFmtId="164" xfId="0" applyAlignment="1" applyBorder="1" applyFont="1" applyNumberFormat="1">
      <alignment horizontal="center" shrinkToFit="0" vertical="center" wrapText="1"/>
    </xf>
    <xf borderId="1" fillId="2" fontId="3" numFmtId="2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4" t="s">
        <v>2</v>
      </c>
    </row>
    <row r="6">
      <c r="A6" s="2" t="s">
        <v>3</v>
      </c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/>
    </row>
    <row r="11">
      <c r="A11" s="4" t="s">
        <v>7</v>
      </c>
    </row>
    <row r="12">
      <c r="A12" s="2"/>
    </row>
    <row r="13">
      <c r="A13" s="4" t="s">
        <v>8</v>
      </c>
    </row>
    <row r="14">
      <c r="A14" s="2" t="s">
        <v>9</v>
      </c>
    </row>
    <row r="15">
      <c r="A15" s="2" t="s">
        <v>10</v>
      </c>
    </row>
    <row r="16">
      <c r="A16" s="2" t="s">
        <v>11</v>
      </c>
    </row>
    <row r="17">
      <c r="A17" s="2" t="s">
        <v>12</v>
      </c>
    </row>
    <row r="18">
      <c r="A18" s="2" t="s">
        <v>13</v>
      </c>
    </row>
    <row r="19">
      <c r="A19" s="2"/>
    </row>
    <row r="20">
      <c r="A20" s="4" t="s">
        <v>14</v>
      </c>
    </row>
    <row r="21" ht="15.75" customHeight="1">
      <c r="A21" s="2" t="s">
        <v>15</v>
      </c>
    </row>
    <row r="22" ht="15.75" customHeight="1">
      <c r="A22" s="2" t="s">
        <v>16</v>
      </c>
    </row>
    <row r="23" ht="15.75" customHeight="1">
      <c r="A23" s="2" t="s">
        <v>17</v>
      </c>
    </row>
    <row r="24" ht="15.75" customHeight="1">
      <c r="A24" s="2"/>
    </row>
    <row r="25" ht="15.75" customHeight="1">
      <c r="A25" s="4" t="s">
        <v>18</v>
      </c>
    </row>
    <row r="26" ht="15.75" customHeight="1">
      <c r="A26" s="2" t="s">
        <v>19</v>
      </c>
    </row>
    <row r="27" ht="15.75" customHeight="1">
      <c r="A27" s="2" t="s">
        <v>20</v>
      </c>
    </row>
    <row r="28" ht="15.75" customHeight="1">
      <c r="A28" s="2" t="s">
        <v>21</v>
      </c>
    </row>
    <row r="29" ht="15.75" customHeight="1">
      <c r="A29" s="2" t="s">
        <v>22</v>
      </c>
    </row>
    <row r="30" ht="15.75" customHeight="1">
      <c r="A30" s="2"/>
    </row>
    <row r="31" ht="15.75" customHeight="1">
      <c r="A31" s="5" t="s">
        <v>23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12.0"/>
    <col customWidth="1" min="4" max="4" width="16.0"/>
    <col customWidth="1" min="5" max="5" width="18.0"/>
    <col customWidth="1" min="6" max="6" width="22.0"/>
    <col customWidth="1" min="7" max="26" width="8.71"/>
  </cols>
  <sheetData>
    <row r="1" ht="15.75" customHeight="1">
      <c r="A1" s="6" t="s">
        <v>24</v>
      </c>
    </row>
    <row r="3">
      <c r="A3" s="7" t="s">
        <v>25</v>
      </c>
    </row>
    <row r="4">
      <c r="A4" s="8" t="s">
        <v>26</v>
      </c>
      <c r="D4" s="9">
        <f>COUNTA(A15:A64)</f>
        <v>50</v>
      </c>
      <c r="F4" s="10" t="s">
        <v>27</v>
      </c>
    </row>
    <row r="5">
      <c r="A5" s="8" t="s">
        <v>28</v>
      </c>
      <c r="D5" s="9">
        <f>COUNTIFS(C15:C64,"Y",D15:D64,"Y")</f>
        <v>46</v>
      </c>
    </row>
    <row r="6">
      <c r="A6" s="8" t="s">
        <v>29</v>
      </c>
      <c r="D6" s="11">
        <f>IF(D4=0,0,D5/D4)</f>
        <v>0.92</v>
      </c>
    </row>
    <row r="7">
      <c r="A7" s="8" t="s">
        <v>30</v>
      </c>
      <c r="D7" s="11">
        <f>IF(D4=0,0,COUNTIF(C15:C64,"Y")/D4)</f>
        <v>0.92</v>
      </c>
    </row>
    <row r="8">
      <c r="A8" s="8" t="s">
        <v>31</v>
      </c>
      <c r="D8" s="12">
        <f>IFERROR(AVERAGEIFS(F15:F64,D15:D64,"Y"),"-")</f>
        <v>2.489130435</v>
      </c>
    </row>
    <row r="9">
      <c r="A9" s="8" t="s">
        <v>32</v>
      </c>
      <c r="D9" s="12">
        <f>IFERROR(SUMPRODUCT((D15:D64="Y")*(F15:F64)^2)/COUNTIFS(D15:D64,"Y"),"-")</f>
        <v>7.233695652</v>
      </c>
    </row>
    <row r="10">
      <c r="A10" s="8" t="s">
        <v>33</v>
      </c>
      <c r="D10" s="9">
        <f>COUNTIF(E15:E64,"no-grasp")</f>
        <v>4</v>
      </c>
    </row>
    <row r="11">
      <c r="A11" s="8" t="s">
        <v>34</v>
      </c>
      <c r="D11" s="9">
        <f>COUNTIF(E15:E64,"grasped-dropped")</f>
        <v>0</v>
      </c>
    </row>
    <row r="12">
      <c r="A12" s="8" t="s">
        <v>35</v>
      </c>
      <c r="D12" s="9">
        <f>COUNTIF(E15:E64,"wrong-placement")</f>
        <v>0</v>
      </c>
    </row>
    <row r="14">
      <c r="A14" s="13" t="s">
        <v>36</v>
      </c>
      <c r="B14" s="13" t="s">
        <v>37</v>
      </c>
      <c r="C14" s="13" t="s">
        <v>38</v>
      </c>
      <c r="D14" s="13" t="s">
        <v>39</v>
      </c>
      <c r="E14" s="13" t="s">
        <v>40</v>
      </c>
      <c r="F14" s="13" t="s">
        <v>41</v>
      </c>
    </row>
    <row r="15">
      <c r="A15" s="14">
        <v>1.0</v>
      </c>
      <c r="B15" s="15" t="s">
        <v>42</v>
      </c>
      <c r="C15" s="16" t="s">
        <v>43</v>
      </c>
      <c r="D15" s="16" t="s">
        <v>43</v>
      </c>
      <c r="E15" s="17"/>
      <c r="F15" s="16">
        <v>4.6</v>
      </c>
    </row>
    <row r="16">
      <c r="A16" s="14">
        <v>2.0</v>
      </c>
      <c r="B16" s="14" t="s">
        <v>44</v>
      </c>
      <c r="C16" s="16" t="s">
        <v>43</v>
      </c>
      <c r="D16" s="16" t="s">
        <v>43</v>
      </c>
      <c r="E16" s="17"/>
      <c r="F16" s="16">
        <v>3.2</v>
      </c>
    </row>
    <row r="17">
      <c r="A17" s="14">
        <v>3.0</v>
      </c>
      <c r="B17" s="14" t="s">
        <v>44</v>
      </c>
      <c r="C17" s="16" t="s">
        <v>43</v>
      </c>
      <c r="D17" s="16" t="s">
        <v>43</v>
      </c>
      <c r="E17" s="17"/>
      <c r="F17" s="16">
        <v>2.2</v>
      </c>
    </row>
    <row r="18">
      <c r="A18" s="14">
        <v>4.0</v>
      </c>
      <c r="B18" s="14" t="s">
        <v>44</v>
      </c>
      <c r="C18" s="16" t="s">
        <v>43</v>
      </c>
      <c r="D18" s="16" t="s">
        <v>43</v>
      </c>
      <c r="E18" s="17"/>
      <c r="F18" s="16">
        <v>2.8</v>
      </c>
    </row>
    <row r="19">
      <c r="A19" s="14">
        <v>5.0</v>
      </c>
      <c r="B19" s="14" t="s">
        <v>44</v>
      </c>
      <c r="C19" s="16" t="s">
        <v>43</v>
      </c>
      <c r="D19" s="16" t="s">
        <v>43</v>
      </c>
      <c r="E19" s="17"/>
      <c r="F19" s="16">
        <v>2.8</v>
      </c>
    </row>
    <row r="20">
      <c r="A20" s="14">
        <v>6.0</v>
      </c>
      <c r="B20" s="14" t="s">
        <v>44</v>
      </c>
      <c r="C20" s="16" t="s">
        <v>43</v>
      </c>
      <c r="D20" s="16" t="s">
        <v>43</v>
      </c>
      <c r="E20" s="17"/>
      <c r="F20" s="16">
        <v>1.7</v>
      </c>
    </row>
    <row r="21" ht="15.75" customHeight="1">
      <c r="A21" s="14">
        <v>7.0</v>
      </c>
      <c r="B21" s="14" t="s">
        <v>44</v>
      </c>
      <c r="C21" s="16" t="s">
        <v>45</v>
      </c>
      <c r="D21" s="16" t="s">
        <v>45</v>
      </c>
      <c r="E21" s="16" t="s">
        <v>46</v>
      </c>
      <c r="F21" s="16">
        <v>15.3</v>
      </c>
    </row>
    <row r="22" ht="15.75" customHeight="1">
      <c r="A22" s="14">
        <v>8.0</v>
      </c>
      <c r="B22" s="14" t="s">
        <v>44</v>
      </c>
      <c r="C22" s="16" t="s">
        <v>43</v>
      </c>
      <c r="D22" s="16" t="s">
        <v>43</v>
      </c>
      <c r="E22" s="17"/>
      <c r="F22" s="16">
        <v>3.2</v>
      </c>
    </row>
    <row r="23" ht="15.75" customHeight="1">
      <c r="A23" s="14">
        <v>9.0</v>
      </c>
      <c r="B23" s="14" t="s">
        <v>44</v>
      </c>
      <c r="C23" s="16" t="s">
        <v>43</v>
      </c>
      <c r="D23" s="16" t="s">
        <v>43</v>
      </c>
      <c r="E23" s="17"/>
      <c r="F23" s="16">
        <v>2.4</v>
      </c>
    </row>
    <row r="24" ht="15.75" customHeight="1">
      <c r="A24" s="14">
        <v>10.0</v>
      </c>
      <c r="B24" s="14" t="s">
        <v>44</v>
      </c>
      <c r="C24" s="16" t="s">
        <v>43</v>
      </c>
      <c r="D24" s="16" t="s">
        <v>43</v>
      </c>
      <c r="E24" s="17"/>
      <c r="F24" s="16">
        <v>2.3</v>
      </c>
    </row>
    <row r="25" ht="15.75" customHeight="1">
      <c r="A25" s="14">
        <v>11.0</v>
      </c>
      <c r="B25" s="14" t="s">
        <v>44</v>
      </c>
      <c r="C25" s="16" t="s">
        <v>43</v>
      </c>
      <c r="D25" s="16" t="s">
        <v>43</v>
      </c>
      <c r="E25" s="17"/>
      <c r="F25" s="16">
        <v>3.4</v>
      </c>
    </row>
    <row r="26" ht="15.75" customHeight="1">
      <c r="A26" s="14">
        <v>12.0</v>
      </c>
      <c r="B26" s="14" t="s">
        <v>44</v>
      </c>
      <c r="C26" s="16" t="s">
        <v>43</v>
      </c>
      <c r="D26" s="16" t="s">
        <v>43</v>
      </c>
      <c r="E26" s="17"/>
      <c r="F26" s="16">
        <v>3.0</v>
      </c>
    </row>
    <row r="27" ht="15.75" customHeight="1">
      <c r="A27" s="14">
        <v>13.0</v>
      </c>
      <c r="B27" s="14" t="s">
        <v>44</v>
      </c>
      <c r="C27" s="16" t="s">
        <v>45</v>
      </c>
      <c r="D27" s="16" t="s">
        <v>45</v>
      </c>
      <c r="E27" s="16" t="s">
        <v>46</v>
      </c>
      <c r="F27" s="16">
        <v>15.3</v>
      </c>
    </row>
    <row r="28" ht="15.75" customHeight="1">
      <c r="A28" s="14">
        <v>14.0</v>
      </c>
      <c r="B28" s="14" t="s">
        <v>44</v>
      </c>
      <c r="C28" s="16" t="s">
        <v>45</v>
      </c>
      <c r="D28" s="16" t="s">
        <v>45</v>
      </c>
      <c r="E28" s="16" t="s">
        <v>46</v>
      </c>
      <c r="F28" s="16">
        <v>15.4</v>
      </c>
    </row>
    <row r="29" ht="15.75" customHeight="1">
      <c r="A29" s="14">
        <v>15.0</v>
      </c>
      <c r="B29" s="14" t="s">
        <v>44</v>
      </c>
      <c r="C29" s="16" t="s">
        <v>43</v>
      </c>
      <c r="D29" s="16" t="s">
        <v>43</v>
      </c>
      <c r="E29" s="17"/>
      <c r="F29" s="16">
        <v>3.4</v>
      </c>
    </row>
    <row r="30" ht="15.75" customHeight="1">
      <c r="A30" s="14">
        <v>16.0</v>
      </c>
      <c r="B30" s="14" t="s">
        <v>44</v>
      </c>
      <c r="C30" s="16" t="s">
        <v>43</v>
      </c>
      <c r="D30" s="16" t="s">
        <v>43</v>
      </c>
      <c r="E30" s="17"/>
      <c r="F30" s="16">
        <v>2.8</v>
      </c>
    </row>
    <row r="31" ht="15.75" customHeight="1">
      <c r="A31" s="14">
        <v>17.0</v>
      </c>
      <c r="B31" s="14" t="s">
        <v>44</v>
      </c>
      <c r="C31" s="16" t="s">
        <v>43</v>
      </c>
      <c r="D31" s="16" t="s">
        <v>43</v>
      </c>
      <c r="E31" s="17"/>
      <c r="F31" s="16">
        <v>3.8</v>
      </c>
    </row>
    <row r="32" ht="15.75" customHeight="1">
      <c r="A32" s="14">
        <v>18.0</v>
      </c>
      <c r="B32" s="14" t="s">
        <v>44</v>
      </c>
      <c r="C32" s="16" t="s">
        <v>45</v>
      </c>
      <c r="D32" s="16" t="s">
        <v>45</v>
      </c>
      <c r="E32" s="16" t="s">
        <v>46</v>
      </c>
      <c r="F32" s="16">
        <v>15.5</v>
      </c>
    </row>
    <row r="33" ht="15.75" customHeight="1">
      <c r="A33" s="14">
        <v>19.0</v>
      </c>
      <c r="B33" s="14" t="s">
        <v>44</v>
      </c>
      <c r="C33" s="16" t="s">
        <v>43</v>
      </c>
      <c r="D33" s="16" t="s">
        <v>43</v>
      </c>
      <c r="E33" s="17"/>
      <c r="F33" s="16">
        <v>2.2</v>
      </c>
    </row>
    <row r="34" ht="15.75" customHeight="1">
      <c r="A34" s="14">
        <v>20.0</v>
      </c>
      <c r="B34" s="14" t="s">
        <v>44</v>
      </c>
      <c r="C34" s="16" t="s">
        <v>43</v>
      </c>
      <c r="D34" s="16" t="s">
        <v>43</v>
      </c>
      <c r="E34" s="17"/>
      <c r="F34" s="16">
        <v>2.2</v>
      </c>
    </row>
    <row r="35" ht="15.75" customHeight="1">
      <c r="A35" s="14">
        <v>21.0</v>
      </c>
      <c r="B35" s="14" t="s">
        <v>44</v>
      </c>
      <c r="C35" s="16" t="s">
        <v>43</v>
      </c>
      <c r="D35" s="16" t="s">
        <v>43</v>
      </c>
      <c r="E35" s="17"/>
      <c r="F35" s="16">
        <v>3.3</v>
      </c>
    </row>
    <row r="36" ht="15.75" customHeight="1">
      <c r="A36" s="14">
        <v>22.0</v>
      </c>
      <c r="B36" s="14" t="s">
        <v>44</v>
      </c>
      <c r="C36" s="16" t="s">
        <v>43</v>
      </c>
      <c r="D36" s="16" t="s">
        <v>43</v>
      </c>
      <c r="E36" s="17"/>
      <c r="F36" s="16">
        <v>3.0</v>
      </c>
    </row>
    <row r="37" ht="15.75" customHeight="1">
      <c r="A37" s="14">
        <v>23.0</v>
      </c>
      <c r="B37" s="14" t="s">
        <v>44</v>
      </c>
      <c r="C37" s="16" t="s">
        <v>43</v>
      </c>
      <c r="D37" s="16" t="s">
        <v>43</v>
      </c>
      <c r="E37" s="17"/>
      <c r="F37" s="16">
        <v>1.2</v>
      </c>
    </row>
    <row r="38" ht="15.75" customHeight="1">
      <c r="A38" s="14">
        <v>24.0</v>
      </c>
      <c r="B38" s="14" t="s">
        <v>44</v>
      </c>
      <c r="C38" s="16" t="s">
        <v>43</v>
      </c>
      <c r="D38" s="16" t="s">
        <v>43</v>
      </c>
      <c r="E38" s="17"/>
      <c r="F38" s="16">
        <v>0.2</v>
      </c>
    </row>
    <row r="39" ht="15.75" customHeight="1">
      <c r="A39" s="14">
        <v>25.0</v>
      </c>
      <c r="B39" s="14" t="s">
        <v>44</v>
      </c>
      <c r="C39" s="16" t="s">
        <v>43</v>
      </c>
      <c r="D39" s="16" t="s">
        <v>43</v>
      </c>
      <c r="E39" s="17"/>
      <c r="F39" s="16">
        <v>2.9</v>
      </c>
    </row>
    <row r="40" ht="15.75" customHeight="1">
      <c r="A40" s="14">
        <v>26.0</v>
      </c>
      <c r="B40" s="14" t="s">
        <v>44</v>
      </c>
      <c r="C40" s="16" t="s">
        <v>43</v>
      </c>
      <c r="D40" s="16" t="s">
        <v>43</v>
      </c>
      <c r="E40" s="17"/>
      <c r="F40" s="16">
        <v>2.1</v>
      </c>
    </row>
    <row r="41" ht="15.75" customHeight="1">
      <c r="A41" s="14">
        <v>27.0</v>
      </c>
      <c r="B41" s="14" t="s">
        <v>44</v>
      </c>
      <c r="C41" s="16" t="s">
        <v>43</v>
      </c>
      <c r="D41" s="16" t="s">
        <v>43</v>
      </c>
      <c r="E41" s="17"/>
      <c r="F41" s="16">
        <v>0.9</v>
      </c>
    </row>
    <row r="42" ht="15.75" customHeight="1">
      <c r="A42" s="14">
        <v>28.0</v>
      </c>
      <c r="B42" s="14" t="s">
        <v>44</v>
      </c>
      <c r="C42" s="16" t="s">
        <v>43</v>
      </c>
      <c r="D42" s="16" t="s">
        <v>43</v>
      </c>
      <c r="E42" s="17"/>
      <c r="F42" s="16">
        <v>3.7</v>
      </c>
    </row>
    <row r="43" ht="15.75" customHeight="1">
      <c r="A43" s="14">
        <v>29.0</v>
      </c>
      <c r="B43" s="14" t="s">
        <v>44</v>
      </c>
      <c r="C43" s="16" t="s">
        <v>43</v>
      </c>
      <c r="D43" s="16" t="s">
        <v>43</v>
      </c>
      <c r="E43" s="17"/>
      <c r="F43" s="16">
        <v>2.8</v>
      </c>
    </row>
    <row r="44" ht="15.75" customHeight="1">
      <c r="A44" s="14">
        <v>30.0</v>
      </c>
      <c r="B44" s="14" t="s">
        <v>44</v>
      </c>
      <c r="C44" s="16" t="s">
        <v>43</v>
      </c>
      <c r="D44" s="16" t="s">
        <v>43</v>
      </c>
      <c r="E44" s="17"/>
      <c r="F44" s="16">
        <v>3.0</v>
      </c>
    </row>
    <row r="45" ht="15.75" customHeight="1">
      <c r="A45" s="14">
        <v>31.0</v>
      </c>
      <c r="B45" s="14" t="s">
        <v>44</v>
      </c>
      <c r="C45" s="16" t="s">
        <v>43</v>
      </c>
      <c r="D45" s="16" t="s">
        <v>43</v>
      </c>
      <c r="E45" s="17"/>
      <c r="F45" s="16">
        <v>2.3</v>
      </c>
    </row>
    <row r="46" ht="15.75" customHeight="1">
      <c r="A46" s="14">
        <v>32.0</v>
      </c>
      <c r="B46" s="14" t="s">
        <v>44</v>
      </c>
      <c r="C46" s="16" t="s">
        <v>43</v>
      </c>
      <c r="D46" s="16" t="s">
        <v>43</v>
      </c>
      <c r="E46" s="17"/>
      <c r="F46" s="16">
        <v>3.0</v>
      </c>
    </row>
    <row r="47" ht="15.75" customHeight="1">
      <c r="A47" s="14">
        <v>33.0</v>
      </c>
      <c r="B47" s="14" t="s">
        <v>44</v>
      </c>
      <c r="C47" s="16" t="s">
        <v>43</v>
      </c>
      <c r="D47" s="16" t="s">
        <v>43</v>
      </c>
      <c r="E47" s="17"/>
      <c r="F47" s="16">
        <v>2.4</v>
      </c>
    </row>
    <row r="48" ht="15.75" customHeight="1">
      <c r="A48" s="14">
        <v>34.0</v>
      </c>
      <c r="B48" s="14" t="s">
        <v>44</v>
      </c>
      <c r="C48" s="16" t="s">
        <v>43</v>
      </c>
      <c r="D48" s="16" t="s">
        <v>43</v>
      </c>
      <c r="E48" s="17"/>
      <c r="F48" s="16">
        <v>0.7</v>
      </c>
    </row>
    <row r="49" ht="15.75" customHeight="1">
      <c r="A49" s="14">
        <v>35.0</v>
      </c>
      <c r="B49" s="14" t="s">
        <v>44</v>
      </c>
      <c r="C49" s="16" t="s">
        <v>43</v>
      </c>
      <c r="D49" s="16" t="s">
        <v>43</v>
      </c>
      <c r="E49" s="17"/>
      <c r="F49" s="16">
        <v>3.9</v>
      </c>
    </row>
    <row r="50" ht="15.75" customHeight="1">
      <c r="A50" s="14">
        <v>36.0</v>
      </c>
      <c r="B50" s="14" t="s">
        <v>44</v>
      </c>
      <c r="C50" s="16" t="s">
        <v>43</v>
      </c>
      <c r="D50" s="16" t="s">
        <v>43</v>
      </c>
      <c r="E50" s="17"/>
      <c r="F50" s="16">
        <v>3.5</v>
      </c>
    </row>
    <row r="51" ht="15.75" customHeight="1">
      <c r="A51" s="14">
        <v>37.0</v>
      </c>
      <c r="B51" s="14" t="s">
        <v>44</v>
      </c>
      <c r="C51" s="16" t="s">
        <v>43</v>
      </c>
      <c r="D51" s="16" t="s">
        <v>43</v>
      </c>
      <c r="E51" s="17"/>
      <c r="F51" s="16">
        <v>1.3</v>
      </c>
    </row>
    <row r="52" ht="15.75" customHeight="1">
      <c r="A52" s="14">
        <v>38.0</v>
      </c>
      <c r="B52" s="14" t="s">
        <v>44</v>
      </c>
      <c r="C52" s="16" t="s">
        <v>43</v>
      </c>
      <c r="D52" s="16" t="s">
        <v>43</v>
      </c>
      <c r="E52" s="17"/>
      <c r="F52" s="16">
        <v>1.2</v>
      </c>
    </row>
    <row r="53" ht="15.75" customHeight="1">
      <c r="A53" s="14">
        <v>39.0</v>
      </c>
      <c r="B53" s="14" t="s">
        <v>44</v>
      </c>
      <c r="C53" s="16" t="s">
        <v>43</v>
      </c>
      <c r="D53" s="16" t="s">
        <v>43</v>
      </c>
      <c r="E53" s="17"/>
      <c r="F53" s="16">
        <v>2.9</v>
      </c>
    </row>
    <row r="54" ht="15.75" customHeight="1">
      <c r="A54" s="14">
        <v>40.0</v>
      </c>
      <c r="B54" s="14" t="s">
        <v>44</v>
      </c>
      <c r="C54" s="16" t="s">
        <v>43</v>
      </c>
      <c r="D54" s="16" t="s">
        <v>43</v>
      </c>
      <c r="E54" s="17"/>
      <c r="F54" s="16">
        <v>3.6</v>
      </c>
    </row>
    <row r="55" ht="15.75" customHeight="1">
      <c r="A55" s="14">
        <v>41.0</v>
      </c>
      <c r="B55" s="14" t="s">
        <v>44</v>
      </c>
      <c r="C55" s="16" t="s">
        <v>43</v>
      </c>
      <c r="D55" s="16" t="s">
        <v>43</v>
      </c>
      <c r="E55" s="17"/>
      <c r="F55" s="16">
        <v>3.4</v>
      </c>
    </row>
    <row r="56" ht="15.75" customHeight="1">
      <c r="A56" s="14">
        <v>42.0</v>
      </c>
      <c r="B56" s="14" t="s">
        <v>44</v>
      </c>
      <c r="C56" s="16" t="s">
        <v>43</v>
      </c>
      <c r="D56" s="16" t="s">
        <v>43</v>
      </c>
      <c r="E56" s="17"/>
      <c r="F56" s="16">
        <v>3.0</v>
      </c>
    </row>
    <row r="57" ht="15.75" customHeight="1">
      <c r="A57" s="14">
        <v>43.0</v>
      </c>
      <c r="B57" s="14" t="s">
        <v>44</v>
      </c>
      <c r="C57" s="16" t="s">
        <v>43</v>
      </c>
      <c r="D57" s="16" t="s">
        <v>43</v>
      </c>
      <c r="E57" s="17"/>
      <c r="F57" s="16">
        <v>3.8</v>
      </c>
    </row>
    <row r="58" ht="15.75" customHeight="1">
      <c r="A58" s="14">
        <v>44.0</v>
      </c>
      <c r="B58" s="14" t="s">
        <v>44</v>
      </c>
      <c r="C58" s="16" t="s">
        <v>43</v>
      </c>
      <c r="D58" s="16" t="s">
        <v>43</v>
      </c>
      <c r="E58" s="17"/>
      <c r="F58" s="16">
        <v>1.0</v>
      </c>
    </row>
    <row r="59" ht="15.75" customHeight="1">
      <c r="A59" s="14">
        <v>45.0</v>
      </c>
      <c r="B59" s="14" t="s">
        <v>44</v>
      </c>
      <c r="C59" s="16" t="s">
        <v>43</v>
      </c>
      <c r="D59" s="16" t="s">
        <v>43</v>
      </c>
      <c r="E59" s="17"/>
      <c r="F59" s="16">
        <v>1.3</v>
      </c>
    </row>
    <row r="60" ht="15.75" customHeight="1">
      <c r="A60" s="14">
        <v>46.0</v>
      </c>
      <c r="B60" s="14" t="s">
        <v>44</v>
      </c>
      <c r="C60" s="16" t="s">
        <v>43</v>
      </c>
      <c r="D60" s="16" t="s">
        <v>43</v>
      </c>
      <c r="E60" s="17"/>
      <c r="F60" s="16">
        <v>2.5</v>
      </c>
    </row>
    <row r="61" ht="15.75" customHeight="1">
      <c r="A61" s="14">
        <v>47.0</v>
      </c>
      <c r="B61" s="14" t="s">
        <v>44</v>
      </c>
      <c r="C61" s="16" t="s">
        <v>43</v>
      </c>
      <c r="D61" s="16" t="s">
        <v>43</v>
      </c>
      <c r="E61" s="17"/>
      <c r="F61" s="16">
        <v>0.5</v>
      </c>
    </row>
    <row r="62" ht="15.75" customHeight="1">
      <c r="A62" s="14">
        <v>48.0</v>
      </c>
      <c r="B62" s="14" t="s">
        <v>44</v>
      </c>
      <c r="C62" s="16" t="s">
        <v>43</v>
      </c>
      <c r="D62" s="16" t="s">
        <v>43</v>
      </c>
      <c r="E62" s="17"/>
      <c r="F62" s="16">
        <v>1.5</v>
      </c>
    </row>
    <row r="63" ht="15.75" customHeight="1">
      <c r="A63" s="14">
        <v>49.0</v>
      </c>
      <c r="B63" s="14" t="s">
        <v>44</v>
      </c>
      <c r="C63" s="16" t="s">
        <v>43</v>
      </c>
      <c r="D63" s="16" t="s">
        <v>43</v>
      </c>
      <c r="E63" s="17"/>
      <c r="F63" s="16">
        <v>0.9</v>
      </c>
    </row>
    <row r="64" ht="15.75" customHeight="1">
      <c r="A64" s="14">
        <v>50.0</v>
      </c>
      <c r="B64" s="14" t="s">
        <v>44</v>
      </c>
      <c r="C64" s="16" t="s">
        <v>43</v>
      </c>
      <c r="D64" s="16" t="s">
        <v>43</v>
      </c>
      <c r="E64" s="17"/>
      <c r="F64" s="16">
        <v>2.7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0:C10"/>
    <mergeCell ref="A11:C11"/>
    <mergeCell ref="A12:C12"/>
    <mergeCell ref="A1:F1"/>
    <mergeCell ref="A4:C4"/>
    <mergeCell ref="A5:C5"/>
    <mergeCell ref="A6:C6"/>
    <mergeCell ref="A7:C7"/>
    <mergeCell ref="A8:C8"/>
    <mergeCell ref="A9:C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4" width="12.0"/>
    <col customWidth="1" min="5" max="5" width="16.0"/>
    <col customWidth="1" min="6" max="6" width="18.0"/>
    <col customWidth="1" min="7" max="7" width="22.0"/>
    <col customWidth="1" min="8" max="27" width="8.71"/>
  </cols>
  <sheetData>
    <row r="1" ht="15.75" customHeight="1">
      <c r="A1" s="6" t="s">
        <v>47</v>
      </c>
    </row>
    <row r="3">
      <c r="A3" s="7" t="s">
        <v>25</v>
      </c>
    </row>
    <row r="4">
      <c r="A4" s="8" t="s">
        <v>26</v>
      </c>
      <c r="E4" s="9">
        <f>COUNTA(A15:A64)</f>
        <v>50</v>
      </c>
    </row>
    <row r="5">
      <c r="A5" s="8" t="s">
        <v>28</v>
      </c>
      <c r="E5" s="9">
        <f>COUNTIFS(D15:D64,"Y",E15:E64,"Y")</f>
        <v>0</v>
      </c>
    </row>
    <row r="6">
      <c r="A6" s="8" t="s">
        <v>29</v>
      </c>
      <c r="E6" s="11">
        <f>IF(E4=0,0,E5/E4)</f>
        <v>0</v>
      </c>
    </row>
    <row r="7">
      <c r="A7" s="8" t="s">
        <v>30</v>
      </c>
      <c r="E7" s="11">
        <f>IF(E4=0,0,COUNTIF(D15:D64,"Y")/E4)</f>
        <v>0</v>
      </c>
    </row>
    <row r="8">
      <c r="A8" s="8" t="s">
        <v>31</v>
      </c>
      <c r="E8" s="12" t="str">
        <f>IFERROR(AVERAGEIFS(G15:G64,E15:E64,"Y"),"-")</f>
        <v>-</v>
      </c>
    </row>
    <row r="9">
      <c r="A9" s="8" t="s">
        <v>32</v>
      </c>
      <c r="E9" s="12" t="str">
        <f>IFERROR(SUMPRODUCT((E15:E64="Y")*(G15:G64)^2)/COUNTIFS(E15:E64,"Y"),"-")</f>
        <v>-</v>
      </c>
    </row>
    <row r="10">
      <c r="A10" s="8" t="s">
        <v>33</v>
      </c>
      <c r="E10" s="9">
        <f>COUNTIF(F15:F64,"no-grasp")</f>
        <v>0</v>
      </c>
    </row>
    <row r="11">
      <c r="A11" s="8" t="s">
        <v>34</v>
      </c>
      <c r="E11" s="9">
        <f>COUNTIF(F15:F64,"grasped-dropped")</f>
        <v>0</v>
      </c>
    </row>
    <row r="12">
      <c r="A12" s="8" t="s">
        <v>35</v>
      </c>
      <c r="E12" s="9">
        <f>COUNTIF(F15:F64,"wrong-placement")</f>
        <v>0</v>
      </c>
    </row>
    <row r="14">
      <c r="A14" s="13" t="s">
        <v>36</v>
      </c>
      <c r="B14" s="13" t="s">
        <v>48</v>
      </c>
      <c r="C14" s="18" t="s">
        <v>49</v>
      </c>
      <c r="D14" s="13" t="s">
        <v>38</v>
      </c>
      <c r="E14" s="13" t="s">
        <v>39</v>
      </c>
      <c r="F14" s="13" t="s">
        <v>40</v>
      </c>
      <c r="G14" s="13" t="s">
        <v>41</v>
      </c>
    </row>
    <row r="15">
      <c r="A15" s="14">
        <v>1.0</v>
      </c>
      <c r="B15" s="19" t="s">
        <v>50</v>
      </c>
      <c r="C15" s="17"/>
      <c r="D15" s="17"/>
      <c r="E15" s="17"/>
      <c r="F15" s="17"/>
      <c r="G15" s="17"/>
    </row>
    <row r="16">
      <c r="A16" s="14">
        <v>2.0</v>
      </c>
      <c r="B16" s="19" t="s">
        <v>51</v>
      </c>
      <c r="C16" s="17"/>
      <c r="D16" s="17"/>
      <c r="E16" s="17"/>
      <c r="F16" s="17"/>
      <c r="G16" s="17"/>
    </row>
    <row r="17">
      <c r="A17" s="14">
        <v>3.0</v>
      </c>
      <c r="B17" s="19" t="s">
        <v>52</v>
      </c>
      <c r="C17" s="17"/>
      <c r="D17" s="17"/>
      <c r="E17" s="17"/>
      <c r="F17" s="17"/>
      <c r="G17" s="17"/>
    </row>
    <row r="18">
      <c r="A18" s="14">
        <v>4.0</v>
      </c>
      <c r="B18" s="19" t="s">
        <v>53</v>
      </c>
      <c r="C18" s="17"/>
      <c r="D18" s="17"/>
      <c r="E18" s="17"/>
      <c r="F18" s="17"/>
      <c r="G18" s="17"/>
    </row>
    <row r="19">
      <c r="A19" s="14">
        <v>5.0</v>
      </c>
      <c r="B19" s="19" t="s">
        <v>54</v>
      </c>
      <c r="C19" s="17"/>
      <c r="D19" s="17"/>
      <c r="E19" s="17"/>
      <c r="F19" s="17"/>
      <c r="G19" s="17"/>
    </row>
    <row r="20">
      <c r="A20" s="14">
        <v>6.0</v>
      </c>
      <c r="B20" s="19" t="s">
        <v>55</v>
      </c>
      <c r="C20" s="17"/>
      <c r="D20" s="17"/>
      <c r="E20" s="17"/>
      <c r="F20" s="17"/>
      <c r="G20" s="17"/>
    </row>
    <row r="21" ht="15.75" customHeight="1">
      <c r="A21" s="14">
        <v>7.0</v>
      </c>
      <c r="B21" s="19" t="s">
        <v>56</v>
      </c>
      <c r="C21" s="17"/>
      <c r="D21" s="17"/>
      <c r="E21" s="17"/>
      <c r="F21" s="17"/>
      <c r="G21" s="17"/>
    </row>
    <row r="22" ht="15.75" customHeight="1">
      <c r="A22" s="14">
        <v>8.0</v>
      </c>
      <c r="B22" s="19" t="s">
        <v>57</v>
      </c>
      <c r="C22" s="17"/>
      <c r="D22" s="17"/>
      <c r="E22" s="17"/>
      <c r="F22" s="17"/>
      <c r="G22" s="17"/>
    </row>
    <row r="23" ht="15.75" customHeight="1">
      <c r="A23" s="14">
        <v>9.0</v>
      </c>
      <c r="B23" s="19" t="s">
        <v>58</v>
      </c>
      <c r="C23" s="17"/>
      <c r="D23" s="17"/>
      <c r="E23" s="17"/>
      <c r="F23" s="17"/>
      <c r="G23" s="17"/>
    </row>
    <row r="24" ht="15.75" customHeight="1">
      <c r="A24" s="14">
        <v>10.0</v>
      </c>
      <c r="B24" s="19" t="s">
        <v>59</v>
      </c>
      <c r="C24" s="17"/>
      <c r="D24" s="17"/>
      <c r="E24" s="17"/>
      <c r="F24" s="17"/>
      <c r="G24" s="17"/>
    </row>
    <row r="25" ht="15.75" customHeight="1">
      <c r="A25" s="14">
        <v>11.0</v>
      </c>
      <c r="B25" s="19" t="s">
        <v>60</v>
      </c>
      <c r="C25" s="17"/>
      <c r="D25" s="17"/>
      <c r="E25" s="17"/>
      <c r="F25" s="17"/>
      <c r="G25" s="17"/>
    </row>
    <row r="26" ht="15.75" customHeight="1">
      <c r="A26" s="14">
        <v>12.0</v>
      </c>
      <c r="B26" s="19" t="s">
        <v>61</v>
      </c>
      <c r="C26" s="17"/>
      <c r="D26" s="17"/>
      <c r="E26" s="17"/>
      <c r="F26" s="17"/>
      <c r="G26" s="17"/>
    </row>
    <row r="27" ht="15.75" customHeight="1">
      <c r="A27" s="14">
        <v>13.0</v>
      </c>
      <c r="B27" s="19" t="s">
        <v>62</v>
      </c>
      <c r="C27" s="17"/>
      <c r="D27" s="17"/>
      <c r="E27" s="17"/>
      <c r="F27" s="17"/>
      <c r="G27" s="17"/>
    </row>
    <row r="28" ht="15.75" customHeight="1">
      <c r="A28" s="14">
        <v>14.0</v>
      </c>
      <c r="B28" s="19" t="s">
        <v>63</v>
      </c>
      <c r="C28" s="17"/>
      <c r="D28" s="17"/>
      <c r="E28" s="17"/>
      <c r="F28" s="17"/>
      <c r="G28" s="17"/>
    </row>
    <row r="29" ht="15.75" customHeight="1">
      <c r="A29" s="14">
        <v>15.0</v>
      </c>
      <c r="B29" s="19" t="s">
        <v>64</v>
      </c>
      <c r="C29" s="17"/>
      <c r="D29" s="17"/>
      <c r="E29" s="17"/>
      <c r="F29" s="17"/>
      <c r="G29" s="17"/>
    </row>
    <row r="30" ht="15.75" customHeight="1">
      <c r="A30" s="14">
        <v>16.0</v>
      </c>
      <c r="B30" s="19" t="s">
        <v>65</v>
      </c>
      <c r="C30" s="17"/>
      <c r="D30" s="17"/>
      <c r="E30" s="17"/>
      <c r="F30" s="17"/>
      <c r="G30" s="17"/>
    </row>
    <row r="31" ht="15.75" customHeight="1">
      <c r="A31" s="14">
        <v>17.0</v>
      </c>
      <c r="B31" s="19" t="s">
        <v>66</v>
      </c>
      <c r="C31" s="17"/>
      <c r="D31" s="17"/>
      <c r="E31" s="17"/>
      <c r="F31" s="17"/>
      <c r="G31" s="17"/>
    </row>
    <row r="32" ht="15.75" customHeight="1">
      <c r="A32" s="14">
        <v>18.0</v>
      </c>
      <c r="B32" s="19" t="s">
        <v>67</v>
      </c>
      <c r="C32" s="17"/>
      <c r="D32" s="17"/>
      <c r="E32" s="17"/>
      <c r="F32" s="17"/>
      <c r="G32" s="17"/>
    </row>
    <row r="33" ht="15.75" customHeight="1">
      <c r="A33" s="14">
        <v>19.0</v>
      </c>
      <c r="B33" s="19" t="s">
        <v>68</v>
      </c>
      <c r="C33" s="17"/>
      <c r="D33" s="17"/>
      <c r="E33" s="17"/>
      <c r="F33" s="17"/>
      <c r="G33" s="17"/>
    </row>
    <row r="34" ht="15.75" customHeight="1">
      <c r="A34" s="14">
        <v>20.0</v>
      </c>
      <c r="B34" s="19" t="s">
        <v>69</v>
      </c>
      <c r="C34" s="17"/>
      <c r="D34" s="17"/>
      <c r="E34" s="17"/>
      <c r="F34" s="17"/>
      <c r="G34" s="17"/>
    </row>
    <row r="35" ht="15.75" customHeight="1">
      <c r="A35" s="14">
        <v>21.0</v>
      </c>
      <c r="B35" s="19" t="s">
        <v>70</v>
      </c>
      <c r="C35" s="17"/>
      <c r="D35" s="17"/>
      <c r="E35" s="17"/>
      <c r="F35" s="17"/>
      <c r="G35" s="17"/>
    </row>
    <row r="36" ht="15.75" customHeight="1">
      <c r="A36" s="14">
        <v>22.0</v>
      </c>
      <c r="B36" s="19" t="s">
        <v>71</v>
      </c>
      <c r="C36" s="17"/>
      <c r="D36" s="17"/>
      <c r="E36" s="17"/>
      <c r="F36" s="17"/>
      <c r="G36" s="17"/>
    </row>
    <row r="37" ht="15.75" customHeight="1">
      <c r="A37" s="14">
        <v>23.0</v>
      </c>
      <c r="B37" s="19" t="s">
        <v>72</v>
      </c>
      <c r="C37" s="17"/>
      <c r="D37" s="17"/>
      <c r="E37" s="17"/>
      <c r="F37" s="17"/>
      <c r="G37" s="17"/>
    </row>
    <row r="38" ht="15.75" customHeight="1">
      <c r="A38" s="14">
        <v>24.0</v>
      </c>
      <c r="B38" s="19" t="s">
        <v>73</v>
      </c>
      <c r="C38" s="17"/>
      <c r="D38" s="17"/>
      <c r="E38" s="17"/>
      <c r="F38" s="17"/>
      <c r="G38" s="17"/>
    </row>
    <row r="39" ht="15.75" customHeight="1">
      <c r="A39" s="14">
        <v>25.0</v>
      </c>
      <c r="B39" s="19" t="s">
        <v>74</v>
      </c>
      <c r="C39" s="17"/>
      <c r="D39" s="17"/>
      <c r="E39" s="17"/>
      <c r="F39" s="17"/>
      <c r="G39" s="17"/>
    </row>
    <row r="40" ht="15.75" customHeight="1">
      <c r="A40" s="14">
        <v>26.0</v>
      </c>
      <c r="B40" s="19" t="s">
        <v>75</v>
      </c>
      <c r="C40" s="17"/>
      <c r="D40" s="17"/>
      <c r="E40" s="17"/>
      <c r="F40" s="17"/>
      <c r="G40" s="17"/>
    </row>
    <row r="41" ht="15.75" customHeight="1">
      <c r="A41" s="14">
        <v>27.0</v>
      </c>
      <c r="B41" s="19" t="s">
        <v>76</v>
      </c>
      <c r="C41" s="17"/>
      <c r="D41" s="17"/>
      <c r="E41" s="17"/>
      <c r="F41" s="17"/>
      <c r="G41" s="17"/>
    </row>
    <row r="42" ht="15.75" customHeight="1">
      <c r="A42" s="14">
        <v>28.0</v>
      </c>
      <c r="B42" s="19" t="s">
        <v>77</v>
      </c>
      <c r="C42" s="17"/>
      <c r="D42" s="17"/>
      <c r="E42" s="17"/>
      <c r="F42" s="17"/>
      <c r="G42" s="17"/>
    </row>
    <row r="43" ht="15.75" customHeight="1">
      <c r="A43" s="14">
        <v>29.0</v>
      </c>
      <c r="B43" s="19" t="s">
        <v>78</v>
      </c>
      <c r="C43" s="17"/>
      <c r="D43" s="17"/>
      <c r="E43" s="17"/>
      <c r="F43" s="17"/>
      <c r="G43" s="17"/>
    </row>
    <row r="44" ht="15.75" customHeight="1">
      <c r="A44" s="14">
        <v>30.0</v>
      </c>
      <c r="B44" s="19" t="s">
        <v>79</v>
      </c>
      <c r="C44" s="17"/>
      <c r="D44" s="17"/>
      <c r="E44" s="17"/>
      <c r="F44" s="17"/>
      <c r="G44" s="17"/>
    </row>
    <row r="45" ht="15.75" customHeight="1">
      <c r="A45" s="14">
        <v>31.0</v>
      </c>
      <c r="B45" s="19" t="s">
        <v>80</v>
      </c>
      <c r="C45" s="17"/>
      <c r="D45" s="17"/>
      <c r="E45" s="17"/>
      <c r="F45" s="17"/>
      <c r="G45" s="17"/>
    </row>
    <row r="46" ht="15.75" customHeight="1">
      <c r="A46" s="14">
        <v>32.0</v>
      </c>
      <c r="B46" s="19" t="s">
        <v>81</v>
      </c>
      <c r="C46" s="17"/>
      <c r="D46" s="17"/>
      <c r="E46" s="17"/>
      <c r="F46" s="17"/>
      <c r="G46" s="17"/>
    </row>
    <row r="47" ht="15.75" customHeight="1">
      <c r="A47" s="14">
        <v>33.0</v>
      </c>
      <c r="B47" s="19" t="s">
        <v>82</v>
      </c>
      <c r="C47" s="17"/>
      <c r="D47" s="17"/>
      <c r="E47" s="17"/>
      <c r="F47" s="17"/>
      <c r="G47" s="17"/>
    </row>
    <row r="48" ht="15.75" customHeight="1">
      <c r="A48" s="14">
        <v>34.0</v>
      </c>
      <c r="B48" s="19" t="s">
        <v>83</v>
      </c>
      <c r="C48" s="17"/>
      <c r="D48" s="17"/>
      <c r="E48" s="17"/>
      <c r="F48" s="17"/>
      <c r="G48" s="17"/>
    </row>
    <row r="49" ht="15.75" customHeight="1">
      <c r="A49" s="14">
        <v>35.0</v>
      </c>
      <c r="B49" s="19" t="s">
        <v>84</v>
      </c>
      <c r="C49" s="17"/>
      <c r="D49" s="17"/>
      <c r="E49" s="17"/>
      <c r="F49" s="17"/>
      <c r="G49" s="17"/>
    </row>
    <row r="50" ht="15.75" customHeight="1">
      <c r="A50" s="14">
        <v>36.0</v>
      </c>
      <c r="B50" s="19" t="s">
        <v>85</v>
      </c>
      <c r="C50" s="17"/>
      <c r="D50" s="17"/>
      <c r="E50" s="17"/>
      <c r="F50" s="17"/>
      <c r="G50" s="17"/>
    </row>
    <row r="51" ht="15.75" customHeight="1">
      <c r="A51" s="14">
        <v>37.0</v>
      </c>
      <c r="B51" s="19" t="s">
        <v>86</v>
      </c>
      <c r="C51" s="17"/>
      <c r="D51" s="17"/>
      <c r="E51" s="17"/>
      <c r="F51" s="17"/>
      <c r="G51" s="17"/>
    </row>
    <row r="52" ht="15.75" customHeight="1">
      <c r="A52" s="14">
        <v>38.0</v>
      </c>
      <c r="B52" s="19" t="s">
        <v>87</v>
      </c>
      <c r="C52" s="17"/>
      <c r="D52" s="17"/>
      <c r="E52" s="17"/>
      <c r="F52" s="17"/>
      <c r="G52" s="17"/>
    </row>
    <row r="53" ht="15.75" customHeight="1">
      <c r="A53" s="14">
        <v>39.0</v>
      </c>
      <c r="B53" s="19" t="s">
        <v>88</v>
      </c>
      <c r="C53" s="17"/>
      <c r="D53" s="17"/>
      <c r="E53" s="17"/>
      <c r="F53" s="17"/>
      <c r="G53" s="17"/>
    </row>
    <row r="54" ht="15.75" customHeight="1">
      <c r="A54" s="14">
        <v>40.0</v>
      </c>
      <c r="B54" s="19" t="s">
        <v>89</v>
      </c>
      <c r="C54" s="17"/>
      <c r="D54" s="17"/>
      <c r="E54" s="17"/>
      <c r="F54" s="17"/>
      <c r="G54" s="17"/>
    </row>
    <row r="55" ht="15.75" customHeight="1">
      <c r="A55" s="14">
        <v>41.0</v>
      </c>
      <c r="B55" s="19" t="s">
        <v>90</v>
      </c>
      <c r="C55" s="17"/>
      <c r="D55" s="17"/>
      <c r="E55" s="17"/>
      <c r="F55" s="17"/>
      <c r="G55" s="17"/>
    </row>
    <row r="56" ht="15.75" customHeight="1">
      <c r="A56" s="14">
        <v>42.0</v>
      </c>
      <c r="B56" s="19" t="s">
        <v>91</v>
      </c>
      <c r="C56" s="17"/>
      <c r="D56" s="17"/>
      <c r="E56" s="17"/>
      <c r="F56" s="17"/>
      <c r="G56" s="17"/>
    </row>
    <row r="57" ht="15.75" customHeight="1">
      <c r="A57" s="14">
        <v>43.0</v>
      </c>
      <c r="B57" s="19" t="s">
        <v>92</v>
      </c>
      <c r="C57" s="17"/>
      <c r="D57" s="17"/>
      <c r="E57" s="17"/>
      <c r="F57" s="17"/>
      <c r="G57" s="17"/>
    </row>
    <row r="58" ht="15.75" customHeight="1">
      <c r="A58" s="14">
        <v>44.0</v>
      </c>
      <c r="B58" s="19" t="s">
        <v>93</v>
      </c>
      <c r="C58" s="17"/>
      <c r="D58" s="17"/>
      <c r="E58" s="17"/>
      <c r="F58" s="17"/>
      <c r="G58" s="17"/>
    </row>
    <row r="59" ht="15.75" customHeight="1">
      <c r="A59" s="14">
        <v>45.0</v>
      </c>
      <c r="B59" s="19" t="s">
        <v>94</v>
      </c>
      <c r="C59" s="17"/>
      <c r="D59" s="17"/>
      <c r="E59" s="17"/>
      <c r="F59" s="17"/>
      <c r="G59" s="17"/>
    </row>
    <row r="60" ht="15.75" customHeight="1">
      <c r="A60" s="14">
        <v>46.0</v>
      </c>
      <c r="B60" s="19" t="s">
        <v>95</v>
      </c>
      <c r="C60" s="17"/>
      <c r="D60" s="17"/>
      <c r="E60" s="17"/>
      <c r="F60" s="17"/>
      <c r="G60" s="17"/>
    </row>
    <row r="61" ht="15.75" customHeight="1">
      <c r="A61" s="14">
        <v>47.0</v>
      </c>
      <c r="B61" s="19" t="s">
        <v>96</v>
      </c>
      <c r="C61" s="17"/>
      <c r="D61" s="17"/>
      <c r="E61" s="17"/>
      <c r="F61" s="17"/>
      <c r="G61" s="17"/>
    </row>
    <row r="62" ht="15.75" customHeight="1">
      <c r="A62" s="14">
        <v>48.0</v>
      </c>
      <c r="B62" s="19" t="s">
        <v>97</v>
      </c>
      <c r="C62" s="17"/>
      <c r="D62" s="17"/>
      <c r="E62" s="17"/>
      <c r="F62" s="17"/>
      <c r="G62" s="17"/>
    </row>
    <row r="63" ht="15.75" customHeight="1">
      <c r="A63" s="14">
        <v>49.0</v>
      </c>
      <c r="B63" s="19" t="s">
        <v>98</v>
      </c>
      <c r="C63" s="17"/>
      <c r="D63" s="17"/>
      <c r="E63" s="17"/>
      <c r="F63" s="17"/>
      <c r="G63" s="17"/>
    </row>
    <row r="64" ht="15.75" customHeight="1">
      <c r="A64" s="14">
        <v>50.0</v>
      </c>
      <c r="B64" s="19" t="s">
        <v>99</v>
      </c>
      <c r="C64" s="17"/>
      <c r="D64" s="17"/>
      <c r="E64" s="17"/>
      <c r="F64" s="17"/>
      <c r="G64" s="17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0:D10"/>
    <mergeCell ref="A11:D11"/>
    <mergeCell ref="A12:D12"/>
    <mergeCell ref="A1:G1"/>
    <mergeCell ref="A4:D4"/>
    <mergeCell ref="A5:D5"/>
    <mergeCell ref="A6:D6"/>
    <mergeCell ref="A7:D7"/>
    <mergeCell ref="A8:D8"/>
    <mergeCell ref="A9:D9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2026-07-06T21:33:56Z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