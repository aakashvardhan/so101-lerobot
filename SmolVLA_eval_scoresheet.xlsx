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" sheetId="1" state="visible" r:id="rId1"/>
    <sheet name="Rand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SmolVLA Evaluation - Fixed Position</t>
        </is>
      </c>
    </row>
    <row r="3">
      <c r="A3" s="2" t="inlineStr">
        <is>
          <t>SUMMARY (auto-computed)</t>
        </is>
      </c>
    </row>
    <row r="4">
      <c r="A4" t="inlineStr">
        <is>
          <t>Total trials</t>
        </is>
      </c>
      <c r="D4">
        <f>COUNTA($C$15:$C$64)</f>
        <v/>
      </c>
    </row>
    <row r="5">
      <c r="A5" t="inlineStr">
        <is>
          <t>Successes (grasp Y AND target Y)</t>
        </is>
      </c>
      <c r="D5">
        <f>SUMPRODUCT((UPPER($C$15:$C$64)="Y")*(UPPER($D$15:$D$64)="Y"))</f>
        <v/>
      </c>
    </row>
    <row r="6">
      <c r="A6" t="inlineStr">
        <is>
          <t>Success rate</t>
        </is>
      </c>
      <c r="D6">
        <f>IF($D$4=0,0,$D$5/$D$4)</f>
        <v/>
      </c>
    </row>
    <row r="7">
      <c r="A7" t="inlineStr">
        <is>
          <t>Grasp rate (grasped Y / total)</t>
        </is>
      </c>
      <c r="D7">
        <f>IF($D$4=0,0,COUNTIF($C$15:$C$64,"Y")/$D$4)</f>
        <v/>
      </c>
    </row>
    <row r="8">
      <c r="A8" t="inlineStr">
        <is>
          <t>Mean placement error (cm, successes only)</t>
        </is>
      </c>
      <c r="D8">
        <f>IFERROR(AVERAGEIFS($F$15:$F$64,$C$15:$C$64,"Y",$D$15:$D$64,"Y"),"-")</f>
        <v/>
      </c>
    </row>
    <row r="9">
      <c r="A9" t="inlineStr">
        <is>
          <t>Placement MSE (cm^2, optional)</t>
        </is>
      </c>
      <c r="D9">
        <f>IFERROR(SUMPRODUCT((UPPER($C$15:$C$64)="Y")*(UPPER($D$15:$D$64)="Y")*$F$15:$F$64^2)/$D$5,"-")</f>
        <v/>
      </c>
    </row>
    <row r="10">
      <c r="A10" t="inlineStr">
        <is>
          <t>Fail: no-grasp</t>
        </is>
      </c>
      <c r="D10">
        <f>COUNTIF($E$15:$E$64,"no-grasp")</f>
        <v/>
      </c>
    </row>
    <row r="11">
      <c r="A11" t="inlineStr">
        <is>
          <t>Fail: grasped-dropped</t>
        </is>
      </c>
      <c r="D11">
        <f>COUNTIF($E$15:$E$64,"grasped-dropped")</f>
        <v/>
      </c>
    </row>
    <row r="12">
      <c r="A12" t="inlineStr">
        <is>
          <t>Fail: wrong-placement</t>
        </is>
      </c>
      <c r="D12">
        <f>COUNTIF($E$15:$E$64,"wrong-placement")</f>
        <v/>
      </c>
    </row>
    <row r="14">
      <c r="A14" s="3" t="inlineStr">
        <is>
          <t>Trial</t>
        </is>
      </c>
      <c r="B14" s="3" t="inlineStr">
        <is>
          <t>Cube pos</t>
        </is>
      </c>
      <c r="C14" s="3" t="inlineStr">
        <is>
          <t>Grasped? (Y/N)</t>
        </is>
      </c>
      <c r="D14" s="3" t="inlineStr">
        <is>
          <t>Placed? (Y/N)</t>
        </is>
      </c>
      <c r="E14" s="3" t="inlineStr">
        <is>
          <t>Failure mode</t>
        </is>
      </c>
      <c r="F14" s="3" t="inlineStr">
        <is>
          <t>Placement err (cm)</t>
        </is>
      </c>
    </row>
    <row r="15">
      <c r="A15" t="n">
        <v>1</v>
      </c>
      <c r="B15" t="inlineStr">
        <is>
          <t>(0,0)</t>
        </is>
      </c>
      <c r="C15" t="inlineStr">
        <is>
          <t>Y</t>
        </is>
      </c>
      <c r="D15" t="inlineStr">
        <is>
          <t>Y</t>
        </is>
      </c>
    </row>
    <row r="16">
      <c r="A16" t="n">
        <v>2</v>
      </c>
      <c r="B16" t="inlineStr">
        <is>
          <t>(0,0)</t>
        </is>
      </c>
      <c r="C16" t="inlineStr">
        <is>
          <t>Y</t>
        </is>
      </c>
      <c r="D16" t="inlineStr">
        <is>
          <t>Y</t>
        </is>
      </c>
    </row>
    <row r="17">
      <c r="A17" t="n">
        <v>3</v>
      </c>
      <c r="B17" t="inlineStr">
        <is>
          <t>(0,0)</t>
        </is>
      </c>
      <c r="C17" t="inlineStr">
        <is>
          <t>Y</t>
        </is>
      </c>
      <c r="D17" t="inlineStr">
        <is>
          <t>Y</t>
        </is>
      </c>
    </row>
    <row r="18">
      <c r="A18" t="n">
        <v>4</v>
      </c>
      <c r="B18" t="inlineStr">
        <is>
          <t>(0,0)</t>
        </is>
      </c>
      <c r="C18" t="inlineStr">
        <is>
          <t>Y</t>
        </is>
      </c>
      <c r="D18" t="inlineStr">
        <is>
          <t>Y</t>
        </is>
      </c>
    </row>
    <row r="19">
      <c r="A19" t="n">
        <v>5</v>
      </c>
      <c r="B19" t="inlineStr">
        <is>
          <t>(0,0)</t>
        </is>
      </c>
      <c r="C19" t="inlineStr">
        <is>
          <t>Y</t>
        </is>
      </c>
      <c r="D19" t="inlineStr">
        <is>
          <t>Y</t>
        </is>
      </c>
    </row>
    <row r="20">
      <c r="A20" t="n">
        <v>6</v>
      </c>
      <c r="B20" t="inlineStr">
        <is>
          <t>(0,0)</t>
        </is>
      </c>
      <c r="C20" t="inlineStr">
        <is>
          <t>Y</t>
        </is>
      </c>
      <c r="D20" t="inlineStr">
        <is>
          <t>Y</t>
        </is>
      </c>
    </row>
    <row r="21">
      <c r="A21" t="n">
        <v>7</v>
      </c>
      <c r="B21" t="inlineStr">
        <is>
          <t>(0,0)</t>
        </is>
      </c>
      <c r="C21" t="inlineStr">
        <is>
          <t>Y</t>
        </is>
      </c>
      <c r="D21" t="inlineStr">
        <is>
          <t>Y</t>
        </is>
      </c>
    </row>
    <row r="22">
      <c r="A22" t="n">
        <v>8</v>
      </c>
      <c r="B22" t="inlineStr">
        <is>
          <t>(0,0)</t>
        </is>
      </c>
      <c r="C22" t="inlineStr">
        <is>
          <t>Y</t>
        </is>
      </c>
      <c r="D22" t="inlineStr">
        <is>
          <t>Y</t>
        </is>
      </c>
    </row>
    <row r="23">
      <c r="A23" t="n">
        <v>9</v>
      </c>
      <c r="B23" t="inlineStr">
        <is>
          <t>(0,0)</t>
        </is>
      </c>
      <c r="C23" t="inlineStr">
        <is>
          <t>Y</t>
        </is>
      </c>
      <c r="D23" t="inlineStr">
        <is>
          <t>Y</t>
        </is>
      </c>
    </row>
    <row r="24">
      <c r="A24" t="n">
        <v>10</v>
      </c>
      <c r="B24" t="inlineStr">
        <is>
          <t>(0,0)</t>
        </is>
      </c>
      <c r="C24" t="inlineStr">
        <is>
          <t>Y</t>
        </is>
      </c>
      <c r="D24" t="inlineStr">
        <is>
          <t>Y</t>
        </is>
      </c>
    </row>
    <row r="25">
      <c r="A25" t="n">
        <v>11</v>
      </c>
      <c r="B25" t="inlineStr">
        <is>
          <t>(0,0)</t>
        </is>
      </c>
      <c r="C25" t="inlineStr">
        <is>
          <t>Y</t>
        </is>
      </c>
      <c r="D25" t="inlineStr">
        <is>
          <t>Y</t>
        </is>
      </c>
    </row>
    <row r="26">
      <c r="A26" t="n">
        <v>12</v>
      </c>
      <c r="B26" t="inlineStr">
        <is>
          <t>(0,0)</t>
        </is>
      </c>
      <c r="C26" t="inlineStr">
        <is>
          <t>Y</t>
        </is>
      </c>
      <c r="D26" t="inlineStr">
        <is>
          <t>Y</t>
        </is>
      </c>
    </row>
    <row r="27">
      <c r="A27" t="n">
        <v>13</v>
      </c>
      <c r="B27" t="inlineStr">
        <is>
          <t>(0,0)</t>
        </is>
      </c>
      <c r="C27" t="inlineStr">
        <is>
          <t>Y</t>
        </is>
      </c>
      <c r="D27" t="inlineStr">
        <is>
          <t>Y</t>
        </is>
      </c>
    </row>
    <row r="28">
      <c r="A28" t="n">
        <v>14</v>
      </c>
      <c r="B28" t="inlineStr">
        <is>
          <t>(0,0)</t>
        </is>
      </c>
      <c r="C28" t="inlineStr">
        <is>
          <t>Y</t>
        </is>
      </c>
      <c r="D28" t="inlineStr">
        <is>
          <t>Y</t>
        </is>
      </c>
    </row>
    <row r="29">
      <c r="A29" t="n">
        <v>15</v>
      </c>
      <c r="B29" t="inlineStr">
        <is>
          <t>(0,0)</t>
        </is>
      </c>
      <c r="C29" t="inlineStr">
        <is>
          <t>Y</t>
        </is>
      </c>
      <c r="D29" t="inlineStr">
        <is>
          <t>Y</t>
        </is>
      </c>
    </row>
    <row r="30">
      <c r="A30" t="n">
        <v>16</v>
      </c>
      <c r="B30" t="inlineStr">
        <is>
          <t>(0,0)</t>
        </is>
      </c>
      <c r="C30" t="inlineStr">
        <is>
          <t>Y</t>
        </is>
      </c>
      <c r="D30" t="inlineStr">
        <is>
          <t>Y</t>
        </is>
      </c>
    </row>
    <row r="31">
      <c r="A31" t="n">
        <v>17</v>
      </c>
      <c r="B31" t="inlineStr">
        <is>
          <t>(0,0)</t>
        </is>
      </c>
      <c r="C31" t="inlineStr">
        <is>
          <t>Y</t>
        </is>
      </c>
      <c r="D31" t="inlineStr">
        <is>
          <t>Y</t>
        </is>
      </c>
    </row>
    <row r="32">
      <c r="A32" t="n">
        <v>18</v>
      </c>
      <c r="B32" t="inlineStr">
        <is>
          <t>(0,0)</t>
        </is>
      </c>
      <c r="C32" t="inlineStr">
        <is>
          <t>Y</t>
        </is>
      </c>
      <c r="D32" t="inlineStr">
        <is>
          <t>Y</t>
        </is>
      </c>
    </row>
    <row r="33">
      <c r="A33" t="n">
        <v>19</v>
      </c>
      <c r="B33" t="inlineStr">
        <is>
          <t>(0,0)</t>
        </is>
      </c>
      <c r="C33" t="inlineStr">
        <is>
          <t>Y</t>
        </is>
      </c>
      <c r="D33" t="inlineStr">
        <is>
          <t>Y</t>
        </is>
      </c>
    </row>
    <row r="34">
      <c r="A34" t="n">
        <v>20</v>
      </c>
      <c r="B34" t="inlineStr">
        <is>
          <t>(0,0)</t>
        </is>
      </c>
      <c r="C34" t="inlineStr">
        <is>
          <t>Y</t>
        </is>
      </c>
      <c r="D34" t="inlineStr">
        <is>
          <t>Y</t>
        </is>
      </c>
    </row>
    <row r="35">
      <c r="A35" t="n">
        <v>21</v>
      </c>
      <c r="B35" t="inlineStr">
        <is>
          <t>(0,0)</t>
        </is>
      </c>
      <c r="C35" t="inlineStr">
        <is>
          <t>Y</t>
        </is>
      </c>
      <c r="D35" t="inlineStr">
        <is>
          <t>Y</t>
        </is>
      </c>
    </row>
    <row r="36">
      <c r="A36" t="n">
        <v>22</v>
      </c>
      <c r="B36" t="inlineStr">
        <is>
          <t>(0,0)</t>
        </is>
      </c>
      <c r="C36" t="inlineStr">
        <is>
          <t>Y</t>
        </is>
      </c>
      <c r="D36" t="inlineStr">
        <is>
          <t>Y</t>
        </is>
      </c>
    </row>
    <row r="37">
      <c r="A37" t="n">
        <v>23</v>
      </c>
      <c r="B37" t="inlineStr">
        <is>
          <t>(0,0)</t>
        </is>
      </c>
      <c r="C37" t="inlineStr">
        <is>
          <t>Y</t>
        </is>
      </c>
      <c r="D37" t="inlineStr">
        <is>
          <t>Y</t>
        </is>
      </c>
    </row>
    <row r="38">
      <c r="A38" t="n">
        <v>24</v>
      </c>
      <c r="B38" t="inlineStr">
        <is>
          <t>(0,0)</t>
        </is>
      </c>
      <c r="C38" t="inlineStr">
        <is>
          <t>Y</t>
        </is>
      </c>
      <c r="D38" t="inlineStr">
        <is>
          <t>Y</t>
        </is>
      </c>
    </row>
    <row r="39">
      <c r="A39" t="n">
        <v>25</v>
      </c>
      <c r="B39" t="inlineStr">
        <is>
          <t>(0,0)</t>
        </is>
      </c>
      <c r="C39" t="inlineStr">
        <is>
          <t>Y</t>
        </is>
      </c>
      <c r="D39" t="inlineStr">
        <is>
          <t>Y</t>
        </is>
      </c>
    </row>
    <row r="40">
      <c r="A40" t="n">
        <v>26</v>
      </c>
      <c r="B40" t="inlineStr">
        <is>
          <t>(0,0)</t>
        </is>
      </c>
      <c r="C40" t="inlineStr">
        <is>
          <t>Y</t>
        </is>
      </c>
      <c r="D40" t="inlineStr">
        <is>
          <t>Y</t>
        </is>
      </c>
    </row>
    <row r="41">
      <c r="A41" t="n">
        <v>27</v>
      </c>
      <c r="B41" t="inlineStr">
        <is>
          <t>(0,0)</t>
        </is>
      </c>
      <c r="C41" t="inlineStr">
        <is>
          <t>Y</t>
        </is>
      </c>
      <c r="D41" t="inlineStr">
        <is>
          <t>Y</t>
        </is>
      </c>
    </row>
    <row r="42">
      <c r="A42" t="n">
        <v>28</v>
      </c>
      <c r="B42" t="inlineStr">
        <is>
          <t>(0,0)</t>
        </is>
      </c>
      <c r="C42" t="inlineStr">
        <is>
          <t>Y</t>
        </is>
      </c>
      <c r="D42" t="inlineStr">
        <is>
          <t>Y</t>
        </is>
      </c>
    </row>
    <row r="43">
      <c r="A43" t="n">
        <v>29</v>
      </c>
      <c r="B43" t="inlineStr">
        <is>
          <t>(0,0)</t>
        </is>
      </c>
      <c r="C43" t="inlineStr">
        <is>
          <t>Y</t>
        </is>
      </c>
      <c r="D43" t="inlineStr">
        <is>
          <t>Y</t>
        </is>
      </c>
    </row>
    <row r="44">
      <c r="A44" t="n">
        <v>30</v>
      </c>
      <c r="B44" t="inlineStr">
        <is>
          <t>(0,0)</t>
        </is>
      </c>
      <c r="C44" t="inlineStr">
        <is>
          <t>Y</t>
        </is>
      </c>
      <c r="D44" t="inlineStr">
        <is>
          <t>Y</t>
        </is>
      </c>
    </row>
    <row r="45">
      <c r="A45" t="n">
        <v>31</v>
      </c>
      <c r="B45" t="inlineStr">
        <is>
          <t>(0,0)</t>
        </is>
      </c>
      <c r="C45" t="inlineStr">
        <is>
          <t>Y</t>
        </is>
      </c>
      <c r="D45" t="inlineStr">
        <is>
          <t>Y</t>
        </is>
      </c>
    </row>
    <row r="46">
      <c r="A46" t="n">
        <v>32</v>
      </c>
      <c r="B46" t="inlineStr">
        <is>
          <t>(0,0)</t>
        </is>
      </c>
      <c r="C46" t="inlineStr">
        <is>
          <t>Y</t>
        </is>
      </c>
      <c r="D46" t="inlineStr">
        <is>
          <t>Y</t>
        </is>
      </c>
    </row>
    <row r="47">
      <c r="A47" t="n">
        <v>33</v>
      </c>
      <c r="B47" t="inlineStr">
        <is>
          <t>(0,0)</t>
        </is>
      </c>
      <c r="C47" t="inlineStr">
        <is>
          <t>Y</t>
        </is>
      </c>
      <c r="D47" t="inlineStr">
        <is>
          <t>Y</t>
        </is>
      </c>
    </row>
    <row r="48">
      <c r="A48" t="n">
        <v>34</v>
      </c>
      <c r="B48" t="inlineStr">
        <is>
          <t>(0,0)</t>
        </is>
      </c>
      <c r="C48" t="inlineStr">
        <is>
          <t>Y</t>
        </is>
      </c>
      <c r="D48" t="inlineStr">
        <is>
          <t>Y</t>
        </is>
      </c>
    </row>
    <row r="49">
      <c r="A49" t="n">
        <v>35</v>
      </c>
      <c r="B49" t="inlineStr">
        <is>
          <t>(0,0)</t>
        </is>
      </c>
      <c r="C49" t="inlineStr">
        <is>
          <t>Y</t>
        </is>
      </c>
      <c r="D49" t="inlineStr">
        <is>
          <t>Y</t>
        </is>
      </c>
    </row>
    <row r="50">
      <c r="A50" t="n">
        <v>36</v>
      </c>
      <c r="B50" t="inlineStr">
        <is>
          <t>(0,0)</t>
        </is>
      </c>
      <c r="C50" t="inlineStr">
        <is>
          <t>Y</t>
        </is>
      </c>
      <c r="D50" t="inlineStr">
        <is>
          <t>Y</t>
        </is>
      </c>
    </row>
    <row r="51">
      <c r="A51" t="n">
        <v>37</v>
      </c>
      <c r="B51" t="inlineStr">
        <is>
          <t>(0,0)</t>
        </is>
      </c>
      <c r="C51" t="inlineStr">
        <is>
          <t>Y</t>
        </is>
      </c>
      <c r="D51" t="inlineStr">
        <is>
          <t>Y</t>
        </is>
      </c>
    </row>
    <row r="52">
      <c r="A52" t="n">
        <v>38</v>
      </c>
      <c r="B52" t="inlineStr">
        <is>
          <t>(0,0)</t>
        </is>
      </c>
      <c r="C52" t="inlineStr">
        <is>
          <t>Y</t>
        </is>
      </c>
      <c r="D52" t="inlineStr">
        <is>
          <t>Y</t>
        </is>
      </c>
    </row>
    <row r="53">
      <c r="A53" t="n">
        <v>39</v>
      </c>
      <c r="B53" t="inlineStr">
        <is>
          <t>(0,0)</t>
        </is>
      </c>
      <c r="C53" t="inlineStr">
        <is>
          <t>Y</t>
        </is>
      </c>
      <c r="D53" t="inlineStr">
        <is>
          <t>Y</t>
        </is>
      </c>
    </row>
    <row r="54">
      <c r="A54" t="n">
        <v>40</v>
      </c>
      <c r="B54" t="inlineStr">
        <is>
          <t>(0,0)</t>
        </is>
      </c>
      <c r="C54" t="inlineStr">
        <is>
          <t>Y</t>
        </is>
      </c>
      <c r="D54" t="inlineStr">
        <is>
          <t>Y</t>
        </is>
      </c>
    </row>
    <row r="55">
      <c r="A55" t="n">
        <v>41</v>
      </c>
      <c r="B55" t="inlineStr">
        <is>
          <t>(0,0)</t>
        </is>
      </c>
      <c r="C55" t="inlineStr">
        <is>
          <t>Y</t>
        </is>
      </c>
      <c r="D55" t="inlineStr">
        <is>
          <t>Y</t>
        </is>
      </c>
    </row>
    <row r="56">
      <c r="A56" t="n">
        <v>42</v>
      </c>
      <c r="B56" t="inlineStr">
        <is>
          <t>(0,0)</t>
        </is>
      </c>
      <c r="C56" t="inlineStr">
        <is>
          <t>Y</t>
        </is>
      </c>
      <c r="D56" t="inlineStr">
        <is>
          <t>Y</t>
        </is>
      </c>
    </row>
    <row r="57">
      <c r="A57" t="n">
        <v>43</v>
      </c>
      <c r="B57" t="inlineStr">
        <is>
          <t>(0,0)</t>
        </is>
      </c>
      <c r="C57" t="inlineStr">
        <is>
          <t>Y</t>
        </is>
      </c>
      <c r="D57" t="inlineStr">
        <is>
          <t>Y</t>
        </is>
      </c>
    </row>
    <row r="58">
      <c r="A58" t="n">
        <v>44</v>
      </c>
      <c r="B58" t="inlineStr">
        <is>
          <t>(0,0)</t>
        </is>
      </c>
      <c r="C58" t="inlineStr">
        <is>
          <t>Y</t>
        </is>
      </c>
      <c r="D58" t="inlineStr">
        <is>
          <t>Y</t>
        </is>
      </c>
    </row>
    <row r="59">
      <c r="A59" t="n">
        <v>45</v>
      </c>
      <c r="B59" t="inlineStr">
        <is>
          <t>(0,0)</t>
        </is>
      </c>
      <c r="C59" t="inlineStr">
        <is>
          <t>Y</t>
        </is>
      </c>
      <c r="D59" t="inlineStr">
        <is>
          <t>Y</t>
        </is>
      </c>
    </row>
    <row r="60">
      <c r="A60" t="n">
        <v>46</v>
      </c>
      <c r="B60" t="inlineStr">
        <is>
          <t>(0,0)</t>
        </is>
      </c>
      <c r="C60" t="inlineStr">
        <is>
          <t>Y</t>
        </is>
      </c>
      <c r="D60" t="inlineStr">
        <is>
          <t>Y</t>
        </is>
      </c>
    </row>
    <row r="61">
      <c r="A61" t="n">
        <v>47</v>
      </c>
      <c r="B61" t="inlineStr">
        <is>
          <t>(0,0)</t>
        </is>
      </c>
      <c r="C61" t="inlineStr">
        <is>
          <t>Y</t>
        </is>
      </c>
      <c r="D61" t="inlineStr">
        <is>
          <t>Y</t>
        </is>
      </c>
    </row>
    <row r="62">
      <c r="A62" t="n">
        <v>48</v>
      </c>
      <c r="B62" t="inlineStr">
        <is>
          <t>(0,0)</t>
        </is>
      </c>
      <c r="C62" t="inlineStr">
        <is>
          <t>Y</t>
        </is>
      </c>
      <c r="D62" t="inlineStr">
        <is>
          <t>Y</t>
        </is>
      </c>
    </row>
    <row r="63">
      <c r="A63" t="n">
        <v>49</v>
      </c>
      <c r="B63" t="inlineStr">
        <is>
          <t>(0,0)</t>
        </is>
      </c>
      <c r="C63" t="inlineStr">
        <is>
          <t>Y</t>
        </is>
      </c>
      <c r="D63" t="inlineStr">
        <is>
          <t>Y</t>
        </is>
      </c>
    </row>
    <row r="64">
      <c r="A64" t="n">
        <v>50</v>
      </c>
      <c r="B64" t="inlineStr">
        <is>
          <t>(0,0)</t>
        </is>
      </c>
      <c r="C64" t="inlineStr">
        <is>
          <t>Y</t>
        </is>
      </c>
      <c r="D6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SmolVLA Evaluation - Random Position</t>
        </is>
      </c>
    </row>
    <row r="3">
      <c r="A3" s="2" t="inlineStr">
        <is>
          <t>SUMMARY (auto-computed)</t>
        </is>
      </c>
    </row>
    <row r="4">
      <c r="A4" t="inlineStr">
        <is>
          <t>Total trials</t>
        </is>
      </c>
      <c r="E4">
        <f>COUNTA($D$15:$D$64)</f>
        <v/>
      </c>
    </row>
    <row r="5">
      <c r="A5" t="inlineStr">
        <is>
          <t>Successes (grasp Y AND target Y)</t>
        </is>
      </c>
      <c r="E5">
        <f>SUMPRODUCT((UPPER($D$15:$D$64)="Y")*(UPPER($E$15:$E$64)="Y"))</f>
        <v/>
      </c>
    </row>
    <row r="6">
      <c r="A6" t="inlineStr">
        <is>
          <t>Success rate</t>
        </is>
      </c>
      <c r="E6">
        <f>IF($E$4=0,0,$E$5/$E$4)</f>
        <v/>
      </c>
    </row>
    <row r="7">
      <c r="A7" t="inlineStr">
        <is>
          <t>Grasp rate (grasped Y / total)</t>
        </is>
      </c>
      <c r="E7">
        <f>IF($E$4=0,0,COUNTIF($D$15:$D$64,"Y")/$E$4)</f>
        <v/>
      </c>
    </row>
    <row r="8">
      <c r="A8" t="inlineStr">
        <is>
          <t>Mean placement error (cm, successes only)</t>
        </is>
      </c>
      <c r="E8">
        <f>IFERROR(AVERAGEIFS($G$15:$G$64,$D$15:$D$64,"Y",$E$15:$E$64,"Y"),"-")</f>
        <v/>
      </c>
    </row>
    <row r="9">
      <c r="A9" t="inlineStr">
        <is>
          <t>Placement MSE (cm^2, optional)</t>
        </is>
      </c>
      <c r="E9">
        <f>IFERROR(SUMPRODUCT((UPPER($D$15:$D$64)="Y")*(UPPER($E$15:$E$64)="Y")*$G$15:$G$64^2)/$E$5,"-")</f>
        <v/>
      </c>
    </row>
    <row r="10">
      <c r="A10" t="inlineStr">
        <is>
          <t>Fail: no-grasp</t>
        </is>
      </c>
      <c r="E10">
        <f>COUNTIF($F$15:$F$64,"no-grasp")</f>
        <v/>
      </c>
    </row>
    <row r="11">
      <c r="A11" t="inlineStr">
        <is>
          <t>Fail: grasped-dropped</t>
        </is>
      </c>
      <c r="E11">
        <f>COUNTIF($F$15:$F$64,"grasped-dropped")</f>
        <v/>
      </c>
    </row>
    <row r="12">
      <c r="A12" t="inlineStr">
        <is>
          <t>Fail: wrong-placement</t>
        </is>
      </c>
      <c r="E12">
        <f>COUNTIF($F$15:$F$64,"wrong-placement")</f>
        <v/>
      </c>
    </row>
    <row r="14">
      <c r="A14" s="3" t="inlineStr">
        <is>
          <t>Trial</t>
        </is>
      </c>
      <c r="B14" s="3" t="inlineStr">
        <is>
          <t>Cube pos (x,y cm)</t>
        </is>
      </c>
      <c r="C14" s="3" t="inlineStr">
        <is>
          <t>Gripper Pos (cm)</t>
        </is>
      </c>
      <c r="D14" s="3" t="inlineStr">
        <is>
          <t>Grasped? (Y/N)</t>
        </is>
      </c>
      <c r="E14" s="3" t="inlineStr">
        <is>
          <t>Placed? (Y/N)</t>
        </is>
      </c>
      <c r="F14" s="3" t="inlineStr">
        <is>
          <t>Failure mode</t>
        </is>
      </c>
      <c r="G14" s="3" t="inlineStr">
        <is>
          <t>Placement err (cm)</t>
        </is>
      </c>
    </row>
    <row r="15">
      <c r="A15" t="n">
        <v>1</v>
      </c>
      <c r="B15" t="inlineStr">
        <is>
          <t>(1.4, -4.7)</t>
        </is>
      </c>
    </row>
    <row r="16">
      <c r="A16" t="n">
        <v>2</v>
      </c>
      <c r="B16" t="inlineStr">
        <is>
          <t>(-2.2, -2.8)</t>
        </is>
      </c>
    </row>
    <row r="17">
      <c r="A17" t="n">
        <v>3</v>
      </c>
      <c r="B17" t="inlineStr">
        <is>
          <t>(2.4, 1.8)</t>
        </is>
      </c>
    </row>
    <row r="18">
      <c r="A18" t="n">
        <v>4</v>
      </c>
      <c r="B18" t="inlineStr">
        <is>
          <t>(3.9, -4.1)</t>
        </is>
      </c>
    </row>
    <row r="19">
      <c r="A19" t="n">
        <v>5</v>
      </c>
      <c r="B19" t="inlineStr">
        <is>
          <t>(-0.8, -4.7)</t>
        </is>
      </c>
    </row>
    <row r="20">
      <c r="A20" t="n">
        <v>6</v>
      </c>
      <c r="B20" t="inlineStr">
        <is>
          <t>(-2.8, 0.1)</t>
        </is>
      </c>
    </row>
    <row r="21">
      <c r="A21" t="n">
        <v>7</v>
      </c>
      <c r="B21" t="inlineStr">
        <is>
          <t>(-4.7, -3.0)</t>
        </is>
      </c>
    </row>
    <row r="22">
      <c r="A22" t="n">
        <v>8</v>
      </c>
      <c r="B22" t="inlineStr">
        <is>
          <t>(1.5, 0.4)</t>
        </is>
      </c>
    </row>
    <row r="23">
      <c r="A23" t="n">
        <v>9</v>
      </c>
      <c r="B23" t="inlineStr">
        <is>
          <t>(-2.8, 0.9)</t>
        </is>
      </c>
    </row>
    <row r="24">
      <c r="A24" t="n">
        <v>10</v>
      </c>
      <c r="B24" t="inlineStr">
        <is>
          <t>(3.1, -4.9)</t>
        </is>
      </c>
    </row>
    <row r="25">
      <c r="A25" t="n">
        <v>11</v>
      </c>
      <c r="B25" t="inlineStr">
        <is>
          <t>(3.1, 2.0)</t>
        </is>
      </c>
    </row>
    <row r="26">
      <c r="A26" t="n">
        <v>12</v>
      </c>
      <c r="B26" t="inlineStr">
        <is>
          <t>(-1.6, -3.4)</t>
        </is>
      </c>
    </row>
    <row r="27">
      <c r="A27" t="n">
        <v>13</v>
      </c>
      <c r="B27" t="inlineStr">
        <is>
          <t>(4.6, -1.6)</t>
        </is>
      </c>
    </row>
    <row r="28">
      <c r="A28" t="n">
        <v>14</v>
      </c>
      <c r="B28" t="inlineStr">
        <is>
          <t>(-4.1, -4.0)</t>
        </is>
      </c>
    </row>
    <row r="29">
      <c r="A29" t="n">
        <v>15</v>
      </c>
      <c r="B29" t="inlineStr">
        <is>
          <t>(3.5, 1.0)</t>
        </is>
      </c>
    </row>
    <row r="30">
      <c r="A30" t="n">
        <v>16</v>
      </c>
      <c r="B30" t="inlineStr">
        <is>
          <t>(3.1, 2.3)</t>
        </is>
      </c>
    </row>
    <row r="31">
      <c r="A31" t="n">
        <v>17</v>
      </c>
      <c r="B31" t="inlineStr">
        <is>
          <t>(0.4, 4.7)</t>
        </is>
      </c>
    </row>
    <row r="32">
      <c r="A32" t="n">
        <v>18</v>
      </c>
      <c r="B32" t="inlineStr">
        <is>
          <t>(-1.2, 0.5)</t>
        </is>
      </c>
    </row>
    <row r="33">
      <c r="A33" t="n">
        <v>19</v>
      </c>
      <c r="B33" t="inlineStr">
        <is>
          <t>(3.3, 1.2)</t>
        </is>
      </c>
    </row>
    <row r="34">
      <c r="A34" t="n">
        <v>20</v>
      </c>
      <c r="B34" t="inlineStr">
        <is>
          <t>(3.6, 0.8)</t>
        </is>
      </c>
    </row>
    <row r="35">
      <c r="A35" t="n">
        <v>21</v>
      </c>
      <c r="B35" t="inlineStr">
        <is>
          <t>(2.0, -4.5)</t>
        </is>
      </c>
    </row>
    <row r="36">
      <c r="A36" t="n">
        <v>22</v>
      </c>
      <c r="B36" t="inlineStr">
        <is>
          <t>(-2.7, -2.1)</t>
        </is>
      </c>
    </row>
    <row r="37">
      <c r="A37" t="n">
        <v>23</v>
      </c>
      <c r="B37" t="inlineStr">
        <is>
          <t>(-4.2, -2.7)</t>
        </is>
      </c>
    </row>
    <row r="38">
      <c r="A38" t="n">
        <v>24</v>
      </c>
      <c r="B38" t="inlineStr">
        <is>
          <t>(-4.0, -2.2)</t>
        </is>
      </c>
    </row>
    <row r="39">
      <c r="A39" t="n">
        <v>25</v>
      </c>
      <c r="B39" t="inlineStr">
        <is>
          <t>(1.4, -1.4)</t>
        </is>
      </c>
    </row>
    <row r="40">
      <c r="A40" t="n">
        <v>26</v>
      </c>
      <c r="B40" t="inlineStr">
        <is>
          <t>(-1.3, -2.9)</t>
        </is>
      </c>
    </row>
    <row r="41">
      <c r="A41" t="n">
        <v>27</v>
      </c>
      <c r="B41" t="inlineStr">
        <is>
          <t>(-2.3, 4.4)</t>
        </is>
      </c>
    </row>
    <row r="42">
      <c r="A42" t="n">
        <v>28</v>
      </c>
      <c r="B42" t="inlineStr">
        <is>
          <t>(1.5, 1.1)</t>
        </is>
      </c>
    </row>
    <row r="43">
      <c r="A43" t="n">
        <v>29</v>
      </c>
      <c r="B43" t="inlineStr">
        <is>
          <t>(-3.3, 2.3)</t>
        </is>
      </c>
    </row>
    <row r="44">
      <c r="A44" t="n">
        <v>30</v>
      </c>
      <c r="B44" t="inlineStr">
        <is>
          <t>(-3.4, -1.2)</t>
        </is>
      </c>
    </row>
    <row r="45">
      <c r="A45" t="n">
        <v>31</v>
      </c>
      <c r="B45" t="inlineStr">
        <is>
          <t>(4.9, 1.4)</t>
        </is>
      </c>
    </row>
    <row r="46">
      <c r="A46" t="n">
        <v>32</v>
      </c>
      <c r="B46" t="inlineStr">
        <is>
          <t>(0.6, 1.8)</t>
        </is>
      </c>
    </row>
    <row r="47">
      <c r="A47" t="n">
        <v>33</v>
      </c>
      <c r="B47" t="inlineStr">
        <is>
          <t>(3.4, 2.8)</t>
        </is>
      </c>
    </row>
    <row r="48">
      <c r="A48" t="n">
        <v>34</v>
      </c>
      <c r="B48" t="inlineStr">
        <is>
          <t>(-2.7, -4.7)</t>
        </is>
      </c>
    </row>
    <row r="49">
      <c r="A49" t="n">
        <v>35</v>
      </c>
      <c r="B49" t="inlineStr">
        <is>
          <t>(-1.8, -2.3)</t>
        </is>
      </c>
    </row>
    <row r="50">
      <c r="A50" t="n">
        <v>36</v>
      </c>
      <c r="B50" t="inlineStr">
        <is>
          <t>(-2.9, 4.4)</t>
        </is>
      </c>
    </row>
    <row r="51">
      <c r="A51" t="n">
        <v>37</v>
      </c>
      <c r="B51" t="inlineStr">
        <is>
          <t>(3.8, -1.9)</t>
        </is>
      </c>
    </row>
    <row r="52">
      <c r="A52" t="n">
        <v>38</v>
      </c>
      <c r="B52" t="inlineStr">
        <is>
          <t>(1.6, -1.0)</t>
        </is>
      </c>
    </row>
    <row r="53">
      <c r="A53" t="n">
        <v>39</v>
      </c>
      <c r="B53" t="inlineStr">
        <is>
          <t>(4.1, -0.4)</t>
        </is>
      </c>
    </row>
    <row r="54">
      <c r="A54" t="n">
        <v>40</v>
      </c>
      <c r="B54" t="inlineStr">
        <is>
          <t>(-2.4, -2.5)</t>
        </is>
      </c>
    </row>
    <row r="55">
      <c r="A55" t="n">
        <v>41</v>
      </c>
      <c r="B55" t="inlineStr">
        <is>
          <t>(0.6, -2.4)</t>
        </is>
      </c>
    </row>
    <row r="56">
      <c r="A56" t="n">
        <v>42</v>
      </c>
      <c r="B56" t="inlineStr">
        <is>
          <t>(0.8, 4.0)</t>
        </is>
      </c>
    </row>
    <row r="57">
      <c r="A57" t="n">
        <v>43</v>
      </c>
      <c r="B57" t="inlineStr">
        <is>
          <t>(-1.0, -2.8)</t>
        </is>
      </c>
    </row>
    <row r="58">
      <c r="A58" t="n">
        <v>44</v>
      </c>
      <c r="B58" t="inlineStr">
        <is>
          <t>(5.0, 0.1)</t>
        </is>
      </c>
    </row>
    <row r="59">
      <c r="A59" t="n">
        <v>45</v>
      </c>
      <c r="B59" t="inlineStr">
        <is>
          <t>(-4.1, -4.5)</t>
        </is>
      </c>
    </row>
    <row r="60">
      <c r="A60" t="n">
        <v>46</v>
      </c>
      <c r="B60" t="inlineStr">
        <is>
          <t>(-3.9, 1.3)</t>
        </is>
      </c>
    </row>
    <row r="61">
      <c r="A61" t="n">
        <v>47</v>
      </c>
      <c r="B61" t="inlineStr">
        <is>
          <t>(2.9, -0.8)</t>
        </is>
      </c>
    </row>
    <row r="62">
      <c r="A62" t="n">
        <v>48</v>
      </c>
      <c r="B62" t="inlineStr">
        <is>
          <t>(-4.4, -1.2)</t>
        </is>
      </c>
    </row>
    <row r="63">
      <c r="A63" t="n">
        <v>49</v>
      </c>
      <c r="B63" t="inlineStr">
        <is>
          <t>(5.0, 0.3)</t>
        </is>
      </c>
    </row>
    <row r="64">
      <c r="A64" t="n">
        <v>50</v>
      </c>
      <c r="B64" t="inlineStr">
        <is>
          <t>(4.7, 3.6)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2026-07-27T20:25:03Z</dcterms:created>
  <dcterms:modified xsi:type="dcterms:W3CDTF">2026-08-04T01:57:44Z</dcterms:modified>
</cp:coreProperties>
</file>